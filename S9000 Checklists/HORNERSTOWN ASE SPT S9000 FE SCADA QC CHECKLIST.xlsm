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Z:\Clients\TND\FirstEnr\82568_EtfScadaSupprt\QC\Design\Q4\Hornerstown - JC\20190214 - Cellular Modem - JMB\01 - Deliverable\"/>
    </mc:Choice>
  </mc:AlternateContent>
  <xr:revisionPtr revIDLastSave="0" documentId="13_ncr:1_{CC7FF7F7-AA4C-4B75-AA27-DED28323C1F3}" xr6:coauthVersionLast="40" xr6:coauthVersionMax="40" xr10:uidLastSave="{00000000-0000-0000-0000-000000000000}"/>
  <bookViews>
    <workbookView xWindow="28680" yWindow="-120" windowWidth="29040" windowHeight="16440" tabRatio="907" activeTab="2" xr2:uid="{00000000-000D-0000-FFFF-FFFF00000000}"/>
  </bookViews>
  <sheets>
    <sheet name="Rev" sheetId="1" r:id="rId1"/>
    <sheet name="SettingsTab" sheetId="2" state="hidden" r:id="rId2"/>
    <sheet name="General" sheetId="3" r:id="rId3"/>
    <sheet name="ASE Settings" sheetId="4" r:id="rId4"/>
    <sheet name="DNP DCA" sheetId="5" state="hidden" r:id="rId5"/>
    <sheet name="DNP DPA" sheetId="6" state="hidden" r:id="rId6"/>
    <sheet name="Calculator" sheetId="7" state="hidden" r:id="rId7"/>
    <sheet name="Comm WD" sheetId="8" state="hidden" r:id="rId8"/>
    <sheet name="Wesmaint II" sheetId="9" state="hidden" r:id="rId9"/>
    <sheet name="Bridgeman" sheetId="10" state="hidden" r:id="rId10"/>
    <sheet name="DNP Data Link" sheetId="11" state="hidden" r:id="rId11"/>
    <sheet name="Harris DCA" sheetId="12" state="hidden" r:id="rId12"/>
    <sheet name="System Point Database" sheetId="13" state="hidden" r:id="rId13"/>
    <sheet name="General Settings" sheetId="14" state="hidden" r:id="rId14"/>
    <sheet name="Client Devices" sheetId="15" state="hidden" r:id="rId15"/>
    <sheet name="Server Devices" sheetId="16" state="hidden" r:id="rId16"/>
    <sheet name="DNP Map" sheetId="17" state="hidden" r:id="rId17"/>
    <sheet name="User Logic" sheetId="18" state="hidden" r:id="rId18"/>
    <sheet name="Axion" sheetId="19" state="hidden" r:id="rId19"/>
    <sheet name="Access Point" sheetId="20" state="hidden" r:id="rId20"/>
    <sheet name="Tag Processor" sheetId="21" state="hidden" r:id="rId21"/>
    <sheet name="HMI Settings" sheetId="26" state="hidden" r:id="rId22"/>
    <sheet name="HMI Pages" sheetId="25" state="hidden" r:id="rId23"/>
    <sheet name="Tag Builder" sheetId="23" r:id="rId2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6" i="21" l="1"/>
  <c r="I54" i="13" l="1"/>
  <c r="H54" i="13"/>
  <c r="G54" i="13"/>
  <c r="F54" i="13"/>
  <c r="I53" i="13"/>
  <c r="H53" i="13"/>
  <c r="G53" i="13"/>
  <c r="F53" i="13"/>
  <c r="I52" i="13"/>
  <c r="I56" i="13" s="1"/>
  <c r="H52" i="13"/>
  <c r="G52" i="13"/>
  <c r="G56" i="13" s="1"/>
  <c r="F52" i="13"/>
  <c r="I47" i="13"/>
  <c r="H47" i="13"/>
  <c r="G47" i="13"/>
  <c r="F47" i="13"/>
  <c r="I46" i="13"/>
  <c r="H46" i="13"/>
  <c r="G46" i="13"/>
  <c r="F46" i="13"/>
  <c r="I45" i="13"/>
  <c r="I49" i="13" s="1"/>
  <c r="H45" i="13"/>
  <c r="H49" i="13" s="1"/>
  <c r="G45" i="13"/>
  <c r="G49" i="13" s="1"/>
  <c r="F45" i="13"/>
  <c r="I40" i="13"/>
  <c r="H40" i="13"/>
  <c r="G40" i="13"/>
  <c r="F40" i="13"/>
  <c r="I39" i="13"/>
  <c r="H39" i="13"/>
  <c r="G39" i="13"/>
  <c r="F39" i="13"/>
  <c r="I38" i="13"/>
  <c r="I42" i="13" s="1"/>
  <c r="H38" i="13"/>
  <c r="G38" i="13"/>
  <c r="G42" i="13" s="1"/>
  <c r="F38" i="13"/>
  <c r="I33" i="13"/>
  <c r="H33" i="13"/>
  <c r="G33" i="13"/>
  <c r="F33" i="13"/>
  <c r="I32" i="13"/>
  <c r="H32" i="13"/>
  <c r="G32" i="13"/>
  <c r="F32" i="13"/>
  <c r="I31" i="13"/>
  <c r="I35" i="13" s="1"/>
  <c r="H31" i="13"/>
  <c r="G31" i="13"/>
  <c r="G35" i="13" s="1"/>
  <c r="F31" i="13"/>
  <c r="I26" i="13"/>
  <c r="H26" i="13"/>
  <c r="G26" i="13"/>
  <c r="F26" i="13"/>
  <c r="I25" i="13"/>
  <c r="H25" i="13"/>
  <c r="G25" i="13"/>
  <c r="F25" i="13"/>
  <c r="I24" i="13"/>
  <c r="I28" i="13" s="1"/>
  <c r="H24" i="13"/>
  <c r="G24" i="13"/>
  <c r="G28" i="13" s="1"/>
  <c r="F24" i="13"/>
  <c r="F19" i="13"/>
  <c r="F49" i="13" l="1"/>
  <c r="F56" i="13"/>
  <c r="H56" i="13"/>
  <c r="H42" i="13"/>
  <c r="F42" i="13"/>
  <c r="H35" i="13"/>
  <c r="F35" i="13"/>
  <c r="H28" i="13"/>
  <c r="F28" i="13"/>
  <c r="H10" i="11"/>
  <c r="H9" i="11"/>
  <c r="H8" i="11"/>
  <c r="H7" i="11"/>
  <c r="F6" i="12" l="1"/>
  <c r="F5" i="12"/>
  <c r="F4" i="12"/>
  <c r="D6" i="12"/>
  <c r="D5" i="12"/>
  <c r="D4" i="12"/>
  <c r="E3" i="10"/>
  <c r="G3" i="10" s="1"/>
  <c r="F2" i="26"/>
  <c r="D2" i="26"/>
  <c r="F34" i="21"/>
  <c r="F35" i="21"/>
  <c r="F36" i="21"/>
  <c r="D36" i="21"/>
  <c r="D35" i="21"/>
  <c r="D34" i="21"/>
  <c r="D32" i="21"/>
  <c r="D31" i="21"/>
  <c r="D30" i="21"/>
  <c r="F31" i="21"/>
  <c r="F32" i="21"/>
  <c r="F30" i="21"/>
  <c r="F28" i="21"/>
  <c r="F27" i="21"/>
  <c r="F26" i="21"/>
  <c r="F20" i="21"/>
  <c r="F19" i="21"/>
  <c r="F18" i="21"/>
  <c r="F17" i="21"/>
  <c r="D28" i="21"/>
  <c r="D27" i="21"/>
  <c r="D20" i="21"/>
  <c r="D19" i="21"/>
  <c r="D18" i="21"/>
  <c r="D17" i="21"/>
  <c r="F5" i="21"/>
  <c r="D5" i="21"/>
  <c r="F14" i="19"/>
  <c r="D14" i="19"/>
  <c r="F12" i="19"/>
  <c r="D12" i="19"/>
  <c r="D10" i="19"/>
  <c r="D9" i="19"/>
  <c r="F10" i="19"/>
  <c r="F9" i="19"/>
  <c r="F5" i="19"/>
  <c r="F4" i="19"/>
  <c r="F3" i="19"/>
  <c r="D5" i="19"/>
  <c r="D4" i="19"/>
  <c r="D3" i="19"/>
  <c r="F9" i="18"/>
  <c r="F8" i="18"/>
  <c r="D9" i="18"/>
  <c r="D8" i="18"/>
  <c r="F4" i="18"/>
  <c r="F3" i="18"/>
  <c r="D3" i="18"/>
  <c r="D4" i="18"/>
  <c r="F2" i="14"/>
  <c r="D2" i="14"/>
  <c r="L19" i="23" l="1"/>
  <c r="L20" i="23"/>
  <c r="L21" i="23"/>
  <c r="L22" i="23"/>
  <c r="L23" i="23"/>
  <c r="L24" i="23"/>
  <c r="L25" i="23"/>
  <c r="L26" i="23"/>
  <c r="L27" i="23"/>
  <c r="L28" i="23"/>
  <c r="L29" i="23"/>
  <c r="L30" i="23"/>
  <c r="L31" i="23"/>
  <c r="L18" i="23"/>
  <c r="F18" i="13" l="1"/>
  <c r="F17" i="13"/>
  <c r="G25" i="10" l="1"/>
  <c r="G31" i="10"/>
  <c r="G30" i="10"/>
  <c r="G29" i="10"/>
  <c r="G28" i="10"/>
  <c r="G13" i="10"/>
  <c r="G12" i="10"/>
  <c r="K8" i="5"/>
  <c r="B8" i="5"/>
  <c r="B7" i="5"/>
  <c r="K7" i="5"/>
  <c r="F2" i="3"/>
  <c r="D2" i="3"/>
  <c r="P72" i="23" l="1"/>
  <c r="P71" i="23"/>
  <c r="P70" i="23"/>
  <c r="P69" i="23"/>
  <c r="P68" i="23"/>
  <c r="P67" i="23"/>
  <c r="P66" i="23"/>
  <c r="P65" i="23"/>
  <c r="P64" i="23"/>
  <c r="P63" i="23"/>
  <c r="P62" i="23"/>
  <c r="P61" i="23"/>
  <c r="P60" i="23"/>
  <c r="P59" i="23"/>
  <c r="P58" i="23"/>
  <c r="P57" i="23"/>
  <c r="P56" i="23"/>
  <c r="P55" i="23"/>
  <c r="P54" i="23"/>
  <c r="P53" i="23"/>
  <c r="P52" i="23"/>
  <c r="P51" i="23"/>
  <c r="P50" i="23"/>
  <c r="P49" i="23"/>
  <c r="P48" i="23"/>
  <c r="P47" i="23"/>
  <c r="P46" i="23"/>
  <c r="P45" i="23"/>
  <c r="P44" i="23"/>
  <c r="P43" i="23"/>
  <c r="P42" i="23"/>
  <c r="P41" i="23"/>
  <c r="P40" i="23"/>
  <c r="P39" i="23"/>
  <c r="P38" i="23"/>
  <c r="P37" i="23"/>
  <c r="P36" i="23"/>
  <c r="P35" i="23"/>
  <c r="P34" i="23"/>
  <c r="P33" i="23"/>
  <c r="P32" i="23"/>
  <c r="P31" i="23"/>
  <c r="P30" i="23"/>
  <c r="P29" i="23"/>
  <c r="P28" i="23"/>
  <c r="P27" i="23"/>
  <c r="P26" i="23"/>
  <c r="P25" i="23"/>
  <c r="P24" i="23"/>
  <c r="P23" i="23"/>
  <c r="P22" i="23"/>
  <c r="P21" i="23"/>
  <c r="P20" i="23"/>
  <c r="P19" i="23"/>
  <c r="P18" i="23"/>
  <c r="P17" i="23"/>
  <c r="P16" i="23"/>
  <c r="P15" i="23"/>
  <c r="P14" i="23"/>
  <c r="P13" i="23"/>
  <c r="P12" i="23"/>
  <c r="P11" i="23"/>
  <c r="P10" i="23"/>
  <c r="P9" i="23"/>
  <c r="P8" i="23"/>
  <c r="P7" i="23"/>
  <c r="P6" i="23"/>
  <c r="P5" i="23"/>
  <c r="L12" i="23"/>
  <c r="L11" i="23"/>
  <c r="L10" i="23"/>
  <c r="L9" i="23"/>
  <c r="L8" i="23"/>
  <c r="L7" i="23"/>
  <c r="L6" i="23"/>
  <c r="L5" i="23"/>
  <c r="H25" i="23"/>
  <c r="H24" i="23"/>
  <c r="H23" i="23"/>
  <c r="H22" i="23"/>
  <c r="H21" i="23"/>
  <c r="H20" i="23"/>
  <c r="H19" i="23"/>
  <c r="H18" i="23"/>
  <c r="H17" i="23"/>
  <c r="H16" i="23"/>
  <c r="H15" i="23"/>
  <c r="H14" i="23"/>
  <c r="H13" i="23"/>
  <c r="H12" i="23"/>
  <c r="H11" i="23"/>
  <c r="H10" i="23"/>
  <c r="H9" i="23"/>
  <c r="H8" i="23"/>
  <c r="H7" i="23"/>
  <c r="H6" i="23"/>
  <c r="H5"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F2" i="21" l="1"/>
  <c r="D2" i="21"/>
  <c r="F2" i="20"/>
  <c r="D2" i="20"/>
  <c r="F2" i="19"/>
  <c r="D2" i="19"/>
  <c r="F2" i="18"/>
  <c r="D2" i="18"/>
  <c r="F2" i="17"/>
  <c r="D2" i="17"/>
  <c r="F2" i="16" l="1"/>
  <c r="D2" i="16"/>
  <c r="F2" i="15"/>
  <c r="D2" i="15"/>
  <c r="G17" i="13" l="1"/>
  <c r="H17" i="13"/>
  <c r="I17" i="13"/>
  <c r="G18" i="13"/>
  <c r="H18" i="13"/>
  <c r="I18" i="13"/>
  <c r="G19" i="13"/>
  <c r="H19" i="13"/>
  <c r="I19" i="13"/>
  <c r="F21" i="13"/>
  <c r="G2" i="13"/>
  <c r="D2" i="13"/>
  <c r="F2" i="12"/>
  <c r="D2" i="12"/>
  <c r="H21" i="13" l="1"/>
  <c r="I21" i="13"/>
  <c r="G21" i="13"/>
  <c r="F2" i="11"/>
  <c r="D2" i="11"/>
  <c r="G20" i="10"/>
  <c r="G21" i="10"/>
  <c r="G22" i="10"/>
  <c r="G23" i="10"/>
  <c r="G24" i="10"/>
  <c r="G26" i="10"/>
  <c r="G27" i="10"/>
  <c r="G32" i="10"/>
  <c r="G33" i="10"/>
  <c r="G34" i="10"/>
  <c r="G19" i="10"/>
  <c r="G8" i="10"/>
  <c r="G9" i="10"/>
  <c r="G10" i="10"/>
  <c r="G11" i="10"/>
  <c r="G14" i="10"/>
  <c r="G15" i="10"/>
  <c r="G16" i="10"/>
  <c r="G7" i="10"/>
  <c r="K2" i="10"/>
  <c r="I2" i="10"/>
  <c r="F2" i="9"/>
  <c r="D2" i="9"/>
  <c r="F5" i="8"/>
  <c r="F4" i="8"/>
  <c r="F3" i="8"/>
  <c r="D5" i="8"/>
  <c r="D4" i="8"/>
  <c r="D3" i="8"/>
  <c r="F2" i="8"/>
  <c r="D2" i="8"/>
  <c r="F5" i="7"/>
  <c r="F4" i="7"/>
  <c r="F3" i="7"/>
  <c r="D5" i="7"/>
  <c r="D4" i="7"/>
  <c r="D3" i="7"/>
  <c r="F2" i="7"/>
  <c r="D2" i="7"/>
  <c r="F2" i="6" l="1"/>
  <c r="D2" i="6"/>
  <c r="I2" i="5"/>
  <c r="G2" i="5"/>
  <c r="F2" i="4"/>
  <c r="D2" i="4"/>
</calcChain>
</file>

<file path=xl/sharedStrings.xml><?xml version="1.0" encoding="utf-8"?>
<sst xmlns="http://schemas.openxmlformats.org/spreadsheetml/2006/main" count="1139" uniqueCount="786">
  <si>
    <t>DATE</t>
  </si>
  <si>
    <t>REV</t>
  </si>
  <si>
    <t>DESCRIPTION</t>
  </si>
  <si>
    <t>BY</t>
  </si>
  <si>
    <t>A</t>
  </si>
  <si>
    <t>Created</t>
  </si>
  <si>
    <t>Zack Boatwright</t>
  </si>
  <si>
    <t>B</t>
  </si>
  <si>
    <t>Updated format/analog scaling</t>
  </si>
  <si>
    <t>Device</t>
  </si>
  <si>
    <t>Tabs</t>
  </si>
  <si>
    <t>Config Name</t>
  </si>
  <si>
    <t>Device Name</t>
  </si>
  <si>
    <t>Points List Name</t>
  </si>
  <si>
    <t>Revision Text</t>
  </si>
  <si>
    <t>Key Cells</t>
  </si>
  <si>
    <t>D20ME</t>
  </si>
  <si>
    <t>Standard name: SITENAME_REV_A</t>
  </si>
  <si>
    <t>Standard name: N/A</t>
  </si>
  <si>
    <t>02/21/2018  New DNP Points List Rev C. Upgraded to MPLS and converted from Harris to DNP. Config: HACHOS-E ZBoatwright/BMcD</t>
  </si>
  <si>
    <t xml:space="preserve"> </t>
  </si>
  <si>
    <t>Substation</t>
  </si>
  <si>
    <t>D4</t>
  </si>
  <si>
    <t>D20MX</t>
  </si>
  <si>
    <t>Q3 Engineer</t>
  </si>
  <si>
    <t>D5</t>
  </si>
  <si>
    <t>D20M++</t>
  </si>
  <si>
    <t>Q4 Engineer</t>
  </si>
  <si>
    <t>F6</t>
  </si>
  <si>
    <t>AXION RTU</t>
  </si>
  <si>
    <t>General Settings,Client Devices,Server Devices,DNP Map,User Logic,Axion,Access Point,Tag Processor</t>
  </si>
  <si>
    <t>Standard name: SITENAME_RTU_REV_A_R139</t>
  </si>
  <si>
    <t>N/A</t>
  </si>
  <si>
    <t>Standard name: SITENAME SEL RTAC AXION RTU DNP POINTS LIST REV A</t>
  </si>
  <si>
    <t>7/26/2017 Rev A - Created. Points List Rev B. ZBoatwright/BMcD</t>
  </si>
  <si>
    <t>Device Type</t>
  </si>
  <si>
    <t>D3</t>
  </si>
  <si>
    <t>RTAC Data Concentrator</t>
  </si>
  <si>
    <t>Standard name: SITENAME_RTAC2_REV_A_R139</t>
  </si>
  <si>
    <t>Q3 Date</t>
  </si>
  <si>
    <t>D7</t>
  </si>
  <si>
    <t>ASE Protocol Translator</t>
  </si>
  <si>
    <t>ASE Settings</t>
  </si>
  <si>
    <t>Standard name: East York ASE SPT CDC2 DNP Rev A</t>
  </si>
  <si>
    <t>Standard name: East York CDC 44-550 DNP RTU Points List Rev C</t>
  </si>
  <si>
    <t>Q4 Date</t>
  </si>
  <si>
    <t>F7</t>
  </si>
  <si>
    <t>Q3</t>
  </si>
  <si>
    <t>Q4</t>
  </si>
  <si>
    <t>INFO:</t>
  </si>
  <si>
    <t>General</t>
  </si>
  <si>
    <t>Site name</t>
  </si>
  <si>
    <t>Q3er name</t>
  </si>
  <si>
    <t>Q4er name</t>
  </si>
  <si>
    <t>Date</t>
  </si>
  <si>
    <t>Todays date</t>
  </si>
  <si>
    <t>Check U Drive Files</t>
  </si>
  <si>
    <t>Points List/Config</t>
  </si>
  <si>
    <t>Check EMS Dump</t>
  </si>
  <si>
    <t>Verify EMS dump matches points list</t>
  </si>
  <si>
    <t>Port Lan A Enabled?</t>
  </si>
  <si>
    <t>D20MX devices need Lan A enabled</t>
  </si>
  <si>
    <t>NMAP Test Needed</t>
  </si>
  <si>
    <t>Error Log Screenshot</t>
  </si>
  <si>
    <t/>
  </si>
  <si>
    <t>Master</t>
  </si>
  <si>
    <t>Correct protocol?</t>
  </si>
  <si>
    <t>DNP?</t>
  </si>
  <si>
    <t>Correct serial port</t>
  </si>
  <si>
    <t>Example: Serial Port 1</t>
  </si>
  <si>
    <t>Baud rate</t>
  </si>
  <si>
    <t>Correct baud rate set?</t>
  </si>
  <si>
    <t>Correct Address</t>
  </si>
  <si>
    <t>Device 15727 : toEMS</t>
  </si>
  <si>
    <t>Slave</t>
  </si>
  <si>
    <t>CDC, TRW, ect ?</t>
  </si>
  <si>
    <t>Example: Serial Port 3</t>
  </si>
  <si>
    <t>Example: Device 2 : East_York_CDC_44-550</t>
  </si>
  <si>
    <t>Scan Group</t>
  </si>
  <si>
    <t>Points</t>
  </si>
  <si>
    <t>Correct number of points mapped</t>
  </si>
  <si>
    <t>Points mapped 1:1</t>
  </si>
  <si>
    <t>DCA Configuration</t>
  </si>
  <si>
    <t>Addresses</t>
  </si>
  <si>
    <t>Correct DCA Index/DCA Address?</t>
  </si>
  <si>
    <t>Devices Mapped</t>
  </si>
  <si>
    <t>Are the correct devices mapped?</t>
  </si>
  <si>
    <t>Device Configuration</t>
  </si>
  <si>
    <t>Device Point Map</t>
  </si>
  <si>
    <t>Changes?</t>
  </si>
  <si>
    <t>DCA Object Type:</t>
  </si>
  <si>
    <t>Number:</t>
  </si>
  <si>
    <t>Mapped to correct DCA Device?</t>
  </si>
  <si>
    <t>Yes</t>
  </si>
  <si>
    <t>No</t>
  </si>
  <si>
    <t>Binary Input</t>
  </si>
  <si>
    <t>Binary Output</t>
  </si>
  <si>
    <t>Running Counter</t>
  </si>
  <si>
    <t>Frozen Counter</t>
  </si>
  <si>
    <t>Analog Input 16</t>
  </si>
  <si>
    <t>Analog Output</t>
  </si>
  <si>
    <t>Analog Input 32</t>
  </si>
  <si>
    <t>DPA Configuration</t>
  </si>
  <si>
    <t>DPA/Master Addresses</t>
  </si>
  <si>
    <t>Correct addresses?</t>
  </si>
  <si>
    <t>DPA Points</t>
  </si>
  <si>
    <t>Ensure correct/all points are mapped</t>
  </si>
  <si>
    <t>DATALINK CONFIRM</t>
  </si>
  <si>
    <t>EMS = DISABLED 
HMI = ENABLED</t>
  </si>
  <si>
    <t>Local/Remote (table)</t>
  </si>
  <si>
    <t>OFFLINE LOCAL IIN</t>
  </si>
  <si>
    <t>TIME SYNC ENABLE STATE</t>
  </si>
  <si>
    <t>OFF</t>
  </si>
  <si>
    <t>Binary Input Map</t>
  </si>
  <si>
    <t>SOE</t>
  </si>
  <si>
    <t>SOE = ENABLE (IF SWAPPED WITH COS LEAVE AS IS)</t>
  </si>
  <si>
    <t>COS</t>
  </si>
  <si>
    <t>COS = DISABLED (IF SWAPPED WITH SOE LEAVE AS IS)</t>
  </si>
  <si>
    <t>Digital Input Table</t>
  </si>
  <si>
    <t>Digital Input Type</t>
  </si>
  <si>
    <t>Both</t>
  </si>
  <si>
    <t>OR's are set up correctly</t>
  </si>
  <si>
    <t>|| symbol - not capitol i or lower case L</t>
  </si>
  <si>
    <t>Correct DI points</t>
  </si>
  <si>
    <t>Watch out for 0 index 
Ensure correct DI points are used in each calculator</t>
  </si>
  <si>
    <t>Communication Events</t>
  </si>
  <si>
    <t>Specifier</t>
  </si>
  <si>
    <t>Correct type?</t>
  </si>
  <si>
    <t>Status Point</t>
  </si>
  <si>
    <t>Correct WD point?</t>
  </si>
  <si>
    <t>Start Point</t>
  </si>
  <si>
    <t>Correct Point Mapped?</t>
  </si>
  <si>
    <t>Buffer Configuration</t>
  </si>
  <si>
    <t>SOE Buffer Size</t>
  </si>
  <si>
    <t>SOE Location</t>
  </si>
  <si>
    <t>NVRAM</t>
  </si>
  <si>
    <t>Welcome Message</t>
  </si>
  <si>
    <t>Login Row</t>
  </si>
  <si>
    <t>Row = 15</t>
  </si>
  <si>
    <t>Login Text Attribute</t>
  </si>
  <si>
    <t>Inverse</t>
  </si>
  <si>
    <t>Updated table as needed</t>
  </si>
  <si>
    <t>Configuration Table</t>
  </si>
  <si>
    <t>Number of RX Buffers</t>
  </si>
  <si>
    <t># of DNP Devices +3 or min  10</t>
  </si>
  <si>
    <t>Local Application Address</t>
  </si>
  <si>
    <t>Data Link Channel</t>
  </si>
  <si>
    <t>LAN HEX Address</t>
  </si>
  <si>
    <t>Ensure Data Link is correct between Local and Remote Application Tables</t>
  </si>
  <si>
    <t>Ensure LAN HEX Address is correct</t>
  </si>
  <si>
    <t>Correct Baud Rate?</t>
  </si>
  <si>
    <t>4-Wire</t>
  </si>
  <si>
    <t>DNP DCA,DNP DPA,Calculator,Comm WD,Wesmaint II,Bridgeman,DNP Data Link,Harris DCA,System Point Database</t>
  </si>
  <si>
    <t>Analog Points</t>
  </si>
  <si>
    <t>FD Scale Factors</t>
  </si>
  <si>
    <t>Scaled as FD (See picture below)</t>
  </si>
  <si>
    <t>TR Winding Temp Scale Factors</t>
  </si>
  <si>
    <t>Scaled as Winding Temp (See picture below)</t>
  </si>
  <si>
    <t>All Other Scale Factors</t>
  </si>
  <si>
    <t>Scaled as Volts (See picture below)</t>
  </si>
  <si>
    <t>DCAs</t>
  </si>
  <si>
    <t>Point Description</t>
  </si>
  <si>
    <t>Device Description (Address)</t>
  </si>
  <si>
    <t>DI's</t>
  </si>
  <si>
    <t>Use table below - correct DI points?</t>
  </si>
  <si>
    <t>DO's</t>
  </si>
  <si>
    <t>Use table below - correct DO points?</t>
  </si>
  <si>
    <t>AI's</t>
  </si>
  <si>
    <t>Use table below - correct AI points?</t>
  </si>
  <si>
    <t>DV's</t>
  </si>
  <si>
    <t>Use table below - correct DV points?</t>
  </si>
  <si>
    <t>Calculator DTA</t>
  </si>
  <si>
    <t>Devices</t>
  </si>
  <si>
    <t>= 0</t>
  </si>
  <si>
    <t>DCA 1:</t>
  </si>
  <si>
    <t>DI</t>
  </si>
  <si>
    <t>DO</t>
  </si>
  <si>
    <t>AI</t>
  </si>
  <si>
    <t>DV</t>
  </si>
  <si>
    <t>Number of Satecs:</t>
  </si>
  <si>
    <t>Number of Bitronics:</t>
  </si>
  <si>
    <t>Number of Other:</t>
  </si>
  <si>
    <t>Others AI Points/Device:</t>
  </si>
  <si>
    <t>Total:</t>
  </si>
  <si>
    <t>DCA 2:</t>
  </si>
  <si>
    <t>DCA 3:</t>
  </si>
  <si>
    <t>DCA 4:</t>
  </si>
  <si>
    <t>DCA 5:</t>
  </si>
  <si>
    <t>AcSELerator RTAC</t>
  </si>
  <si>
    <t>Project Settings Version</t>
  </si>
  <si>
    <t>RTAC Config</t>
  </si>
  <si>
    <t>All Client connections present</t>
  </si>
  <si>
    <t>All Server connections present</t>
  </si>
  <si>
    <t>DNP Map present</t>
  </si>
  <si>
    <t>RTAC System Time Control</t>
  </si>
  <si>
    <t>System Time</t>
  </si>
  <si>
    <t>Enable_System_Time_DST_Offset</t>
  </si>
  <si>
    <t>POU Pin Settings</t>
  </si>
  <si>
    <t>Enable_NTP_Time_In</t>
  </si>
  <si>
    <t>Enable_NTP_Time_Out</t>
  </si>
  <si>
    <t>Set_IRIG_B_Time_In_Source_Priority</t>
  </si>
  <si>
    <t>Set_NTP_Time_In_Source_Priority</t>
  </si>
  <si>
    <t>Set_DNP_Time_In_Source_Priority</t>
  </si>
  <si>
    <t>Set_i870_Time_In_Source_Priority</t>
  </si>
  <si>
    <t>Set_PTP_Time_In_Source_Priority</t>
  </si>
  <si>
    <t>YES</t>
  </si>
  <si>
    <t>Create Client Device Connection</t>
  </si>
  <si>
    <t>Device Name Format:</t>
  </si>
  <si>
    <t>SEL_321_P06_PR_RLY_SEL
SATEC_P04_133762_DNP</t>
  </si>
  <si>
    <t>Connection Type</t>
  </si>
  <si>
    <t>Client - Serial (if single port and single device)
Client - Multidrop Serial (single port multi device)</t>
  </si>
  <si>
    <t>Configure Client Connection</t>
  </si>
  <si>
    <t>Settings</t>
  </si>
  <si>
    <t>Communications</t>
  </si>
  <si>
    <t>Ports</t>
  </si>
  <si>
    <t>Ensure port matches points list</t>
  </si>
  <si>
    <t>Serial Communications</t>
  </si>
  <si>
    <t>Baud Rate</t>
  </si>
  <si>
    <t>Ensure baud rates are correct</t>
  </si>
  <si>
    <t>Enable Port Auxiliary Power (Advanced)</t>
  </si>
  <si>
    <t>Enable if device/converter needs power</t>
  </si>
  <si>
    <t>DNP</t>
  </si>
  <si>
    <t>Client DNP Address</t>
  </si>
  <si>
    <t>Ensure points list and config are correct/match</t>
  </si>
  <si>
    <t>Server DNP Address</t>
  </si>
  <si>
    <t>DNP Devices</t>
  </si>
  <si>
    <t>Integrity Poll Period</t>
  </si>
  <si>
    <t>Class 1,2,3 Polling Period</t>
  </si>
  <si>
    <t>Poll Timeout</t>
  </si>
  <si>
    <t>Number of Poll Retries</t>
  </si>
  <si>
    <t>SCADA Points</t>
  </si>
  <si>
    <t>QC SCADA Points</t>
  </si>
  <si>
    <t>Check Order, Type, Source</t>
  </si>
  <si>
    <t>Enable New Event Filtering</t>
  </si>
  <si>
    <t>ONLY FOR fault distance (set true)</t>
  </si>
  <si>
    <t>Tags</t>
  </si>
  <si>
    <t>Correct currents?</t>
  </si>
  <si>
    <t>SEL321, SEL351R, SEL551, SEL352 = IB
SEL421, SEL411L, SEL451 = IB1
SEL501 = IBX</t>
  </si>
  <si>
    <t>Create Server Device Connection</t>
  </si>
  <si>
    <t>Server Connection Name</t>
  </si>
  <si>
    <t>Server Serial</t>
  </si>
  <si>
    <t>Configure Server Connection</t>
  </si>
  <si>
    <t>Serial Communications Port Type</t>
  </si>
  <si>
    <t>EIA232</t>
  </si>
  <si>
    <t>Allow Unsolicited Messages</t>
  </si>
  <si>
    <t>Map Name</t>
  </si>
  <si>
    <t>Function_DNPServerSharedMap1_DNP</t>
  </si>
  <si>
    <t>Is a map mapped correctly?</t>
  </si>
  <si>
    <t>Accept Client Time Sync (Advanced)</t>
  </si>
  <si>
    <t>DNP Map</t>
  </si>
  <si>
    <t>Map matches RTU Map</t>
  </si>
  <si>
    <t>Analog Inputs</t>
  </si>
  <si>
    <t>Var Obj 30 Default</t>
  </si>
  <si>
    <t>Var Obj 32 Default</t>
  </si>
  <si>
    <t>Counter Inputs</t>
  </si>
  <si>
    <t>Var Obj 20 Default</t>
  </si>
  <si>
    <t>Var Obj 21 Default</t>
  </si>
  <si>
    <t>OV_UV Alarm</t>
  </si>
  <si>
    <t>if 125V DC</t>
  </si>
  <si>
    <t>142 / 124</t>
  </si>
  <si>
    <t>if 48V DC</t>
  </si>
  <si>
    <t>57/51</t>
  </si>
  <si>
    <t>Pick Up Level (48 V)</t>
  </si>
  <si>
    <t>36 (Leave default for 125 VDC)</t>
  </si>
  <si>
    <t>Drop Out Level  (48 V)</t>
  </si>
  <si>
    <t>24 (Leave default for 125 VDC)</t>
  </si>
  <si>
    <t>Create Cards</t>
  </si>
  <si>
    <t>All cards present?</t>
  </si>
  <si>
    <t>card A, B, C, ect.</t>
  </si>
  <si>
    <t>Power Coupler Present?</t>
  </si>
  <si>
    <t>SEL_Coupler_A_ECAT</t>
  </si>
  <si>
    <t>Correct power voltage used?</t>
  </si>
  <si>
    <t>48 or 125 ?</t>
  </si>
  <si>
    <t>EtherCat IO</t>
  </si>
  <si>
    <t>Connections</t>
  </si>
  <si>
    <t>Ensure server connection is connected?</t>
  </si>
  <si>
    <t>example: 3530 on slot A port 1</t>
  </si>
  <si>
    <t>EtherCat IO have all cards mapped?</t>
  </si>
  <si>
    <t>slots are filled with all cards</t>
  </si>
  <si>
    <t>Disable_On_Network_Error</t>
  </si>
  <si>
    <t>Controller</t>
  </si>
  <si>
    <t>Add program for card failure</t>
  </si>
  <si>
    <t>Access Point</t>
  </si>
  <si>
    <t>Access_Point_Name</t>
  </si>
  <si>
    <t>Remote_Access_AP</t>
  </si>
  <si>
    <t>Ethernet Incoming (Listens for Connections)</t>
  </si>
  <si>
    <t>Network Connection Type</t>
  </si>
  <si>
    <t>SSH</t>
  </si>
  <si>
    <t>Local Port Number</t>
  </si>
  <si>
    <t>Access Point Router</t>
  </si>
  <si>
    <t>Name</t>
  </si>
  <si>
    <t>APR_SEL_421_PXX</t>
  </si>
  <si>
    <t>Correct device?</t>
  </si>
  <si>
    <t>Ensure its mapped to the correct device</t>
  </si>
  <si>
    <t>Tap?</t>
  </si>
  <si>
    <t>Enable_Legacy_Port_Command</t>
  </si>
  <si>
    <t>Legacy_Port_Command_ID</t>
  </si>
  <si>
    <t>Source_Rx_Message_5</t>
  </si>
  <si>
    <t>BLANK for all APR's</t>
  </si>
  <si>
    <t>Tag Processor</t>
  </si>
  <si>
    <t>'Build' is 'True' for necessary rows</t>
  </si>
  <si>
    <t>Live data Forcable for all tags</t>
  </si>
  <si>
    <t>Control Points</t>
  </si>
  <si>
    <t>All Destination DNP Map points have a Source</t>
  </si>
  <si>
    <t>Fault Location values are scaled x10</t>
  </si>
  <si>
    <t>Fault Location points time source</t>
  </si>
  <si>
    <t>"System_Time"</t>
  </si>
  <si>
    <t>Fault Location points quality source</t>
  </si>
  <si>
    <t>Leave Blank</t>
  </si>
  <si>
    <t>MW values are scaled /100,000 (only for SEL device)</t>
  </si>
  <si>
    <t>MX values are scaled /100,000 (only for SEL device)</t>
  </si>
  <si>
    <t>Voltage values are scaled /100 (only for SEL device)</t>
  </si>
  <si>
    <t>Port Status binaries' suffix is '_POU.Offline'</t>
  </si>
  <si>
    <t>time source</t>
  </si>
  <si>
    <t>System_Time</t>
  </si>
  <si>
    <t>quality</t>
  </si>
  <si>
    <t>Sequence of Events</t>
  </si>
  <si>
    <t>SOE set up for DI, DO, Calc, &amp; WD points</t>
  </si>
  <si>
    <t>Logging Enabled</t>
  </si>
  <si>
    <t>(logging layout) logging enabled = true</t>
  </si>
  <si>
    <t>Logging Category</t>
  </si>
  <si>
    <t>AXION DI', 'AXION DO', 'CALCULATOR'</t>
  </si>
  <si>
    <t>Live data False for logging enabled points</t>
  </si>
  <si>
    <t>suffix</t>
  </si>
  <si>
    <t>VirtualTagList1.Status_0000_OV_UV.stVal</t>
  </si>
  <si>
    <t>SystemTags.Supply_Voltage_Pos_Neg.t</t>
  </si>
  <si>
    <t>SystemTags.Supply_Voltage_Pos_Neg.q</t>
  </si>
  <si>
    <t>RTAC Alarm</t>
  </si>
  <si>
    <t>VirtualTagList1.Status_0001_RTU_IO_FAIL.stVal</t>
  </si>
  <si>
    <t>SEL_24DI_B_ECAT.STATUS.t</t>
  </si>
  <si>
    <t>SEL_24DI_B_ECAT.STATUS.q</t>
  </si>
  <si>
    <t>Calculators</t>
  </si>
  <si>
    <t>VirtualTagList1.Status_0002_Calc_1.stVal</t>
  </si>
  <si>
    <t>Destination Tag Name (.operPulse) EXAMPLE:
SEL_16DO_F_ECAT.OUTPUT_001_BKR_B101_TRIP.operPulse</t>
  </si>
  <si>
    <t>Object Name:</t>
  </si>
  <si>
    <t>SATEC_P18_Q14_IN_IV</t>
  </si>
  <si>
    <t>Bitronics_P12_Q3_FOWLES_DNP</t>
  </si>
  <si>
    <t>Ion_P12_Q3_FOWLES_DNP</t>
  </si>
  <si>
    <t>DRMCC_RE97_27_DNP</t>
  </si>
  <si>
    <t>Point Type:</t>
  </si>
  <si>
    <t>Index</t>
  </si>
  <si>
    <t>Tag Suffix</t>
  </si>
  <si>
    <t>Tag</t>
  </si>
  <si>
    <t>KV_PH_A</t>
  </si>
  <si>
    <t>HEALTH_CHECK   </t>
  </si>
  <si>
    <t>HV_WINDING_TEMP</t>
  </si>
  <si>
    <t>KV_PH_B</t>
  </si>
  <si>
    <t>AMPS_PH_A      </t>
  </si>
  <si>
    <t>XV_WINDING_TEMP</t>
  </si>
  <si>
    <t>KV_PH_C</t>
  </si>
  <si>
    <t>AMPS_PH_B      </t>
  </si>
  <si>
    <t>XV_LOAD_CURRENT</t>
  </si>
  <si>
    <t>AMPS_PH_A</t>
  </si>
  <si>
    <t>AMPS_PH_C      </t>
  </si>
  <si>
    <t>GROUP_A_FAN_AMPS</t>
  </si>
  <si>
    <t>AMPS_PH_B</t>
  </si>
  <si>
    <t>VOLTS_PH_A     </t>
  </si>
  <si>
    <t>GROUP_B_FAN_AMPS</t>
  </si>
  <si>
    <t>AMPS_PH_C</t>
  </si>
  <si>
    <t>VOLTS_PH_B     </t>
  </si>
  <si>
    <t>AMBIENT_TEMPERATURE</t>
  </si>
  <si>
    <t>KW_PH_A</t>
  </si>
  <si>
    <t>VOLTS_PH_C     </t>
  </si>
  <si>
    <t>TOP_OIL_TEMPERATURE</t>
  </si>
  <si>
    <t>KW_PH_B</t>
  </si>
  <si>
    <t>3PH_MW </t>
  </si>
  <si>
    <t>INCON_TAP_POSITION_SENSOR</t>
  </si>
  <si>
    <t>KW_PH_C</t>
  </si>
  <si>
    <t>3PH_MX </t>
  </si>
  <si>
    <t>HV_LOAD_CURRENT</t>
  </si>
  <si>
    <t>KVAR_PH_A</t>
  </si>
  <si>
    <t>WATTS_PH_A     </t>
  </si>
  <si>
    <t>LTC_OIL_TEMPERATURE</t>
  </si>
  <si>
    <t>KVAR_PH_B</t>
  </si>
  <si>
    <t>WATTS_PH_B     </t>
  </si>
  <si>
    <t>BOTTOM_OIL_TEMP</t>
  </si>
  <si>
    <t>KVAR_PH_C</t>
  </si>
  <si>
    <t>WATTS_PH_C     </t>
  </si>
  <si>
    <t>MAIN_TANK_TEMP</t>
  </si>
  <si>
    <t>KVA_PH_A</t>
  </si>
  <si>
    <t>VARS_PH_A      </t>
  </si>
  <si>
    <t>LTC_DIFF_TEMPERATURE</t>
  </si>
  <si>
    <t>KVA_PH_B</t>
  </si>
  <si>
    <t>VARS_PH_B      </t>
  </si>
  <si>
    <t>TAP_POSITION</t>
  </si>
  <si>
    <t>KVA_PH_C</t>
  </si>
  <si>
    <t>VARS_PH_C      </t>
  </si>
  <si>
    <t>LAST_SAVE_H2_CONCENTRATION</t>
  </si>
  <si>
    <t>PF_PH_A</t>
  </si>
  <si>
    <t>CT_VALUE       </t>
  </si>
  <si>
    <t>ACTUAL_CONTINUOUS_HYDROGEN_READING</t>
  </si>
  <si>
    <t>PF_PH_B</t>
  </si>
  <si>
    <t>CT_DIVISOR     </t>
  </si>
  <si>
    <t>ACTUAL_CALCULATED_WATER_SATURATION</t>
  </si>
  <si>
    <t>PF_PH_C</t>
  </si>
  <si>
    <t>PT_VALUE       </t>
  </si>
  <si>
    <t>ACTUAL_CALCULATED_WATER_CONCENTRATION_PPM</t>
  </si>
  <si>
    <t>TOTAL_PF</t>
  </si>
  <si>
    <t>PT_DIVISOR     </t>
  </si>
  <si>
    <t>ACTUAL_CALCULATE_WATER_SATURATION_IN_XFMR</t>
  </si>
  <si>
    <t>TOTALKW</t>
  </si>
  <si>
    <t>NEUTRAL_CURRENT</t>
  </si>
  <si>
    <t>XFMR_OIL_TEMPERATURE</t>
  </si>
  <si>
    <t>TOTAL_KVAR</t>
  </si>
  <si>
    <t>FREQUENCY      </t>
  </si>
  <si>
    <t>LAST_SAVED_CARBON_MONOXIDE_CONCENTRATION</t>
  </si>
  <si>
    <t>TOTAL_KVA</t>
  </si>
  <si>
    <t>HYDROGEN_TREND</t>
  </si>
  <si>
    <t>NEUT_CURRENT</t>
  </si>
  <si>
    <t>CARBON_MONOXIDE_TREND</t>
  </si>
  <si>
    <t>FREQ</t>
  </si>
  <si>
    <t>MOISTURE_IN_OIL_TREND</t>
  </si>
  <si>
    <t>XV_VOLTAGE</t>
  </si>
  <si>
    <t>MONTH_FROM_DRMCC</t>
  </si>
  <si>
    <t>DAY_FROM_DRMCC</t>
  </si>
  <si>
    <t>YEAR_FROM_DRMCC</t>
  </si>
  <si>
    <t>HOUR_FROM_DRMCC</t>
  </si>
  <si>
    <t>MINUTE_FROM_DRMCC</t>
  </si>
  <si>
    <t>MONTH_OF_LAST_MEASUREMENT</t>
  </si>
  <si>
    <t>DAY_OF_LAST_MEASUREMENT</t>
  </si>
  <si>
    <t>YEAR_OF_LAST_MEASUREMENT</t>
  </si>
  <si>
    <t>HOUR_OF_LAST_MEASUREMENT</t>
  </si>
  <si>
    <t>MINUTE_OF_LAST_MEASUREMENT</t>
  </si>
  <si>
    <t>OIL_TEMP_AT_TIME_OF_MEASUREMENT</t>
  </si>
  <si>
    <t>DEVICE_MEASURING_ERROR</t>
  </si>
  <si>
    <t>DEVICE_ALARM_STATUS</t>
  </si>
  <si>
    <t>SET_1_DIS_EN</t>
  </si>
  <si>
    <t>SET_2_DIS_EN</t>
  </si>
  <si>
    <t>SET_1_ALARM_ON_CURRENT_IMBALANCE_MAGNITUDE</t>
  </si>
  <si>
    <t>SET_2_ALARM_ON_CURRENT_IMBALANCE_MAGNITUDE</t>
  </si>
  <si>
    <t>SET_1_SUM_CURRENT_IMBALANCE</t>
  </si>
  <si>
    <t>SET_2_SUM_CURRENT_IMBALANCE</t>
  </si>
  <si>
    <t>SET_1_VECTOR_IMBALANCE</t>
  </si>
  <si>
    <t>SET_2_VECTOR_IMBALANCE</t>
  </si>
  <si>
    <t>SET_1_SUM_CURRENT_TREND</t>
  </si>
  <si>
    <t>SET_2_SUM_CURRENT_TREND</t>
  </si>
  <si>
    <t>SET_1_MAGNITUDE_TEMP_DEP</t>
  </si>
  <si>
    <t>SET_2_MAGNITUDE_TEMP_DEP</t>
  </si>
  <si>
    <t>SET_1_VECTOR_TEMP_DEP</t>
  </si>
  <si>
    <t>SET_2_VECTOR_TEMP_DEP</t>
  </si>
  <si>
    <t>SET_1_BUSH_1_POWER_FACTOR</t>
  </si>
  <si>
    <t>SET_1_BUSH_1_CAPACITANCE</t>
  </si>
  <si>
    <t>SET_1_BUSH_2_POWER_FACTOR</t>
  </si>
  <si>
    <t>SET_1_BUSH_2_CAPACITANCE</t>
  </si>
  <si>
    <t>SET_1_BUSH_3_POWER_FACTOR</t>
  </si>
  <si>
    <t>SET_1_BUSH_3_CAPACITANCE</t>
  </si>
  <si>
    <t>SET_2_BUSH_1_POWER_FACTOR</t>
  </si>
  <si>
    <t>SET_2_BUSH_1_CAPACITANCE</t>
  </si>
  <si>
    <t>SET_2_BUSH_2_POWER_FACTOR</t>
  </si>
  <si>
    <t>SET_2_BUSH_2_CAPACITANCE</t>
  </si>
  <si>
    <t>SET_2_BUSH_3_POWER_FACTOR</t>
  </si>
  <si>
    <t>SET_2_BUSH_3_CAPACITANCE</t>
  </si>
  <si>
    <t>MIDDLE_OIL_TEMPERATURE</t>
  </si>
  <si>
    <t>H0X0_PHASE_LOAD_CURRENT</t>
  </si>
  <si>
    <t>COOLER_GROUP_CURRENT</t>
  </si>
  <si>
    <t>BI</t>
  </si>
  <si>
    <t>DBI</t>
  </si>
  <si>
    <t>BO</t>
  </si>
  <si>
    <t>CNT</t>
  </si>
  <si>
    <t>AO</t>
  </si>
  <si>
    <t>C</t>
  </si>
  <si>
    <t>Added HMI QC</t>
  </si>
  <si>
    <t>HMI</t>
  </si>
  <si>
    <t>HMI Pages with Respective Points</t>
  </si>
  <si>
    <t>Breaker Alarms</t>
  </si>
  <si>
    <t>Breaker/MOAB Status</t>
  </si>
  <si>
    <t>Comm Alarms</t>
  </si>
  <si>
    <t>Meter Comm Alarms</t>
  </si>
  <si>
    <t>Relay Alarms</t>
  </si>
  <si>
    <t>Relay Comm Alarms</t>
  </si>
  <si>
    <t>Bkr Critical Alarms</t>
  </si>
  <si>
    <t xml:space="preserve">Bkr Open/Close </t>
  </si>
  <si>
    <t>Carrier Checkback Alarm</t>
  </si>
  <si>
    <t xml:space="preserve">Meter Comm Watchdog Calc </t>
  </si>
  <si>
    <t>Relay Failure Calc</t>
  </si>
  <si>
    <t>Relay Comm WD Calc</t>
  </si>
  <si>
    <t>Bkr Failure Cutoff Switch Contacts</t>
  </si>
  <si>
    <t>MOAB Open/Close</t>
  </si>
  <si>
    <t>Carrier Trouble Alarm</t>
  </si>
  <si>
    <t>SATEC Meter WD</t>
  </si>
  <si>
    <t>Primary Digital Relay Failure</t>
  </si>
  <si>
    <t>SEL### PR/XX</t>
  </si>
  <si>
    <t>Bkr Failure to Operate</t>
  </si>
  <si>
    <t>Comm Processor Fail</t>
  </si>
  <si>
    <t>Bitronics Meter WD</t>
  </si>
  <si>
    <t>Relay Failure Alarm</t>
  </si>
  <si>
    <t>SEL### BU/XX</t>
  </si>
  <si>
    <t>Bkr Trouble</t>
  </si>
  <si>
    <t>Comm Channel Alarm</t>
  </si>
  <si>
    <t>RTAC Comm WD</t>
  </si>
  <si>
    <t xml:space="preserve">DTT Received </t>
  </si>
  <si>
    <t>SEL###</t>
  </si>
  <si>
    <t>Low Air Pressure</t>
  </si>
  <si>
    <t>D20 Status Calc</t>
  </si>
  <si>
    <t>- Other WD Points</t>
  </si>
  <si>
    <t>Backup Inst Trip</t>
  </si>
  <si>
    <t>RTAC Comm #</t>
  </si>
  <si>
    <t>SF6 Critical</t>
  </si>
  <si>
    <t>D20 WD Points</t>
  </si>
  <si>
    <t>Bus Protection Operation Normal</t>
  </si>
  <si>
    <t>SF6 Non-Critical</t>
  </si>
  <si>
    <t>Bus Primary Protection</t>
  </si>
  <si>
    <t>Bkr Out of Service</t>
  </si>
  <si>
    <t>*Any bkr alarm that does not determine status*</t>
  </si>
  <si>
    <t>*Any protection of buses, xfmrs, bkrs, etc*</t>
  </si>
  <si>
    <t>******OPTIONAL PAGES IF NEEDED******</t>
  </si>
  <si>
    <t>Station Alarms</t>
  </si>
  <si>
    <t>Station Critical Alarms</t>
  </si>
  <si>
    <t>Station Non-Critical Alarms</t>
  </si>
  <si>
    <t>Capacitor Alarms</t>
  </si>
  <si>
    <t>Transformer Alarms</t>
  </si>
  <si>
    <t>Bus/Line Alarms</t>
  </si>
  <si>
    <t>SCADA Local/Remote</t>
  </si>
  <si>
    <t>Station Critical Calc</t>
  </si>
  <si>
    <t>Station Non-Critical Calc</t>
  </si>
  <si>
    <t>Cap Trouble</t>
  </si>
  <si>
    <t>Xfmr Critical Alarm</t>
  </si>
  <si>
    <t>Bus Dead</t>
  </si>
  <si>
    <t>Control Building Alarms</t>
  </si>
  <si>
    <t>-All Associated Points</t>
  </si>
  <si>
    <t>Cap Blown Cans</t>
  </si>
  <si>
    <t xml:space="preserve">Xfmr Lead Relay Operation </t>
  </si>
  <si>
    <t>Bus Status</t>
  </si>
  <si>
    <t>DC UV/OV</t>
  </si>
  <si>
    <t>Cap Trip Alarm</t>
  </si>
  <si>
    <t>Xfmr Nitrogen Pressure</t>
  </si>
  <si>
    <t xml:space="preserve">Bus Operation </t>
  </si>
  <si>
    <t>Loss of Relaying Potential (LOP)</t>
  </si>
  <si>
    <t>Cap Bank Alarms</t>
  </si>
  <si>
    <t>Xfmr Coolers</t>
  </si>
  <si>
    <t xml:space="preserve">Line Dead </t>
  </si>
  <si>
    <t>Master LOR/ER Reset</t>
  </si>
  <si>
    <t>Harmonic Alarm</t>
  </si>
  <si>
    <t>Xfmr Ground Alarm</t>
  </si>
  <si>
    <t>Line Status</t>
  </si>
  <si>
    <t>Station Battery</t>
  </si>
  <si>
    <t>Cap Unbalance Alarm</t>
  </si>
  <si>
    <t>Xfmr Oil</t>
  </si>
  <si>
    <t>Line Fiber Channel Alarm</t>
  </si>
  <si>
    <t>Illegal Entry</t>
  </si>
  <si>
    <t>Cap Switcher Alarm</t>
  </si>
  <si>
    <t>Gen Running</t>
  </si>
  <si>
    <t>DFR Failure (go to relay alarms?)</t>
  </si>
  <si>
    <t>DFR Operation</t>
  </si>
  <si>
    <t>Misc Alarms</t>
  </si>
  <si>
    <t>Standard name: SITENAME SAM REV A</t>
  </si>
  <si>
    <t>Text Formatting for Point Names</t>
  </si>
  <si>
    <t>Names are all capitalized</t>
  </si>
  <si>
    <t>Ex: LOSS OF SCADA CONTROL</t>
  </si>
  <si>
    <t xml:space="preserve">Replace with underscores, spaces, or dashes as applicable </t>
  </si>
  <si>
    <t xml:space="preserve">Remove indentations </t>
  </si>
  <si>
    <t>Verify calculator points don't have indentations in their names</t>
  </si>
  <si>
    <t>Ensure abbreviations are consistent</t>
  </si>
  <si>
    <t xml:space="preserve">Ex: BKR/BREAKER = BKR </t>
  </si>
  <si>
    <t>Calculators fit on one page</t>
  </si>
  <si>
    <t>Start new page if calculator won't fit on one page</t>
  </si>
  <si>
    <t>Calculators have own row</t>
  </si>
  <si>
    <t>Start new row after calculator points are mapped</t>
  </si>
  <si>
    <t>Calculator point placed in leftmost column</t>
  </si>
  <si>
    <t>Verify "Calc #" is in first column</t>
  </si>
  <si>
    <t>Display Section</t>
  </si>
  <si>
    <t>Substation name updated</t>
  </si>
  <si>
    <t>Verify substation name is updated</t>
  </si>
  <si>
    <t>All Pages Labeled Correct</t>
  </si>
  <si>
    <t>All page names follow page names given in next tab</t>
  </si>
  <si>
    <t>Second Pages</t>
  </si>
  <si>
    <t>If multiple pages for same alarm "Name 2"</t>
  </si>
  <si>
    <t>Unused Pages</t>
  </si>
  <si>
    <t>Delete unused/empty pages</t>
  </si>
  <si>
    <t>Group like devices together if they are on same page</t>
  </si>
  <si>
    <t>Verify its on top-left position on station alarms page</t>
  </si>
  <si>
    <t>Group Device_0 -&gt; DI DI_##</t>
  </si>
  <si>
    <t>Points have correct state</t>
  </si>
  <si>
    <t>State1Abnormal = True for all points except 'A' BKR/MOAB status points</t>
  </si>
  <si>
    <t>'A' BKR/MOAB status have correct state</t>
  </si>
  <si>
    <t>State0Abnormal = True, State1Abnormal = False</t>
  </si>
  <si>
    <t>Points have correct state text</t>
  </si>
  <si>
    <t>Any alarm that doesn't have NORMAL/ALARM for 0/1 states needs State0Text and State1Text (Ex. OPEN/CLOSE, LOCAL/REMOTE, etc.)</t>
  </si>
  <si>
    <t>Verify HMI Points match RTU Points</t>
  </si>
  <si>
    <t>Group Device_0</t>
  </si>
  <si>
    <t>Spare Points</t>
  </si>
  <si>
    <t>Spare points aren't mapped to pages - Blue</t>
  </si>
  <si>
    <t>MOAB 'B'  Points</t>
  </si>
  <si>
    <t>MOAB 'B' Contacts aren't mapped to pages - Blue</t>
  </si>
  <si>
    <t xml:space="preserve">HMI Points </t>
  </si>
  <si>
    <t>Verify rest of points are mapped to pages - Green</t>
  </si>
  <si>
    <t>HMI Settings,HMI Pages</t>
  </si>
  <si>
    <t>D</t>
  </si>
  <si>
    <t>Updated D20 Settings</t>
  </si>
  <si>
    <t>MPLS/CDMA/700MHz</t>
  </si>
  <si>
    <t>MPLS/CDMA/700MHz or 4-Wire</t>
  </si>
  <si>
    <t>Any Device Changes?</t>
  </si>
  <si>
    <t>New Devices? New Points?</t>
  </si>
  <si>
    <t>Any connection changes?</t>
  </si>
  <si>
    <t>E</t>
  </si>
  <si>
    <t>Updates to formatting and M++</t>
  </si>
  <si>
    <t>Contact I/O</t>
  </si>
  <si>
    <t>Contact Input (SystemTags.IN101)</t>
  </si>
  <si>
    <t>F</t>
  </si>
  <si>
    <t>Updated for accumulator settings</t>
  </si>
  <si>
    <t>Accumulators?</t>
  </si>
  <si>
    <t>Mapped in both Frozen and Running tab?</t>
  </si>
  <si>
    <t>Ensure points are in both running and frozen tabs</t>
  </si>
  <si>
    <t>Counter Type</t>
  </si>
  <si>
    <t>Frozen Counter Input Map</t>
  </si>
  <si>
    <t>Counter Input Map</t>
  </si>
  <si>
    <t>Counter Size</t>
  </si>
  <si>
    <t>Event Class</t>
  </si>
  <si>
    <t>Time of Freeze</t>
  </si>
  <si>
    <t>Class 1</t>
  </si>
  <si>
    <t>Disabled</t>
  </si>
  <si>
    <t>Event Threshold</t>
  </si>
  <si>
    <t>G</t>
  </si>
  <si>
    <t>Added Ibox and updated on open setting</t>
  </si>
  <si>
    <t>iBox</t>
  </si>
  <si>
    <t>refer to example below (iBox has fewer ports)</t>
  </si>
  <si>
    <t>Bridgeman,Wesmaint II</t>
  </si>
  <si>
    <t>Ph_A_Amps</t>
  </si>
  <si>
    <t>Ph_B_Amps</t>
  </si>
  <si>
    <t>Ph_C_Amps</t>
  </si>
  <si>
    <t>Avg_Amps</t>
  </si>
  <si>
    <t>Ph_A_kV</t>
  </si>
  <si>
    <t>Ph_B_kV</t>
  </si>
  <si>
    <t>Ph_C_kV</t>
  </si>
  <si>
    <t>Avg_kV</t>
  </si>
  <si>
    <t>Total_MW_Comp</t>
  </si>
  <si>
    <t>Total_MVAR_Comp</t>
  </si>
  <si>
    <t>Total_MW_Uncomp</t>
  </si>
  <si>
    <t>Total_MVAR_Uncomp</t>
  </si>
  <si>
    <t>Frequency</t>
  </si>
  <si>
    <t>V_ZeroSeqMag</t>
  </si>
  <si>
    <t>MWH_Del_Comp</t>
  </si>
  <si>
    <t>MWH_Rec_Comp</t>
  </si>
  <si>
    <t>MVARH_Del_Comp</t>
  </si>
  <si>
    <t>MVARH_Rec_Comp</t>
  </si>
  <si>
    <t>MWH_Del_UC</t>
  </si>
  <si>
    <t>MVARH_Del_UC</t>
  </si>
  <si>
    <t>MWH_REC_UC</t>
  </si>
  <si>
    <t>MVARH_REC_UC</t>
  </si>
  <si>
    <t>H</t>
  </si>
  <si>
    <t>RTS Preamble (Advanced)</t>
  </si>
  <si>
    <t>RTS Postamble (Advanced)</t>
  </si>
  <si>
    <t>Updated ION Map and added RTS Pre/Postamble settings</t>
  </si>
  <si>
    <t>MOAB A Points have correct state text</t>
  </si>
  <si>
    <t>MOABs have State0Text OPEN and State1Text CLOSED</t>
  </si>
  <si>
    <t>I</t>
  </si>
  <si>
    <t>Updated HMI QC Sheet</t>
  </si>
  <si>
    <t>Ensure error log is complete</t>
  </si>
  <si>
    <r>
      <t xml:space="preserve">Transition 
</t>
    </r>
    <r>
      <rPr>
        <b/>
        <sz val="11"/>
        <color rgb="FFFF0000"/>
        <rFont val="Times New Roman"/>
        <family val="1"/>
      </rPr>
      <t>(If existing config is Pulse contact Cecil and Marshall)</t>
    </r>
  </si>
  <si>
    <r>
      <t xml:space="preserve">10 (time in milliseconds) </t>
    </r>
    <r>
      <rPr>
        <b/>
        <sz val="11"/>
        <color theme="1"/>
        <rFont val="Times New Roman"/>
        <family val="1"/>
      </rPr>
      <t>ONLY CHANGE FOR SATECS</t>
    </r>
  </si>
  <si>
    <r>
      <t xml:space="preserve">2 (time in milliseconds) </t>
    </r>
    <r>
      <rPr>
        <b/>
        <sz val="11"/>
        <color theme="1"/>
        <rFont val="Times New Roman"/>
        <family val="1"/>
      </rPr>
      <t>ONLY CHANGE FOR SATECS</t>
    </r>
  </si>
  <si>
    <r>
      <t>Text Formatting for Calculators: (</t>
    </r>
    <r>
      <rPr>
        <b/>
        <sz val="11"/>
        <color theme="1"/>
        <rFont val="Times New Roman"/>
        <family val="1"/>
      </rPr>
      <t>See Figure 1 Below</t>
    </r>
    <r>
      <rPr>
        <sz val="11"/>
        <color theme="1"/>
        <rFont val="Times New Roman"/>
        <family val="1"/>
      </rPr>
      <t>)</t>
    </r>
  </si>
  <si>
    <r>
      <t>"Like" devices are placed together: (</t>
    </r>
    <r>
      <rPr>
        <b/>
        <sz val="11"/>
        <color theme="1"/>
        <rFont val="Times New Roman"/>
        <family val="1"/>
      </rPr>
      <t>See Figure 2 Below</t>
    </r>
    <r>
      <rPr>
        <sz val="11"/>
        <color theme="1"/>
        <rFont val="Times New Roman"/>
        <family val="1"/>
      </rPr>
      <t>)</t>
    </r>
  </si>
  <si>
    <r>
      <t>SCADA Local/Remote / SCADA Control: (</t>
    </r>
    <r>
      <rPr>
        <b/>
        <sz val="11"/>
        <color theme="1"/>
        <rFont val="Times New Roman"/>
        <family val="1"/>
      </rPr>
      <t>See Figure 3 Below</t>
    </r>
    <r>
      <rPr>
        <sz val="11"/>
        <color theme="1"/>
        <rFont val="Times New Roman"/>
        <family val="1"/>
      </rPr>
      <t>)</t>
    </r>
  </si>
  <si>
    <t>Communication Settings</t>
  </si>
  <si>
    <t>Total</t>
  </si>
  <si>
    <t>Device Count</t>
  </si>
  <si>
    <t>Remote Application Table
(List Devices)</t>
  </si>
  <si>
    <t>Local Application Table
(List Devices)</t>
  </si>
  <si>
    <t>Harris?</t>
  </si>
  <si>
    <t>J</t>
  </si>
  <si>
    <t>Updated Format and entries</t>
  </si>
  <si>
    <t>Any conflicts on revisions?</t>
  </si>
  <si>
    <t>Verify Points List matches the configuration file</t>
  </si>
  <si>
    <t>K</t>
  </si>
  <si>
    <t>Added D20 psuedo points</t>
  </si>
  <si>
    <t>ME++ DEFAULT PSEUDOS</t>
  </si>
  <si>
    <t>Analog</t>
  </si>
  <si>
    <t>Digital Input</t>
  </si>
  <si>
    <t>Digital Output</t>
  </si>
  <si>
    <t>ONE WAY TRANSMISSION DELAY</t>
  </si>
  <si>
    <t>Global DEVICES DISABLED</t>
  </si>
  <si>
    <t>Global DISABLE ALL DEV</t>
  </si>
  <si>
    <t># OF SUCCESSFUL TRANS W/DEV</t>
  </si>
  <si>
    <t>Global POLLING DISABLED ALL DEV</t>
  </si>
  <si>
    <t>Global DISABLE POLLS TO ALL DEV</t>
  </si>
  <si>
    <t># OF FAILURES</t>
  </si>
  <si>
    <t>Global DISABLE UNSOL RESP ALL DEV</t>
  </si>
  <si>
    <t>Global DISABLE UNSOL RESP</t>
  </si>
  <si>
    <t>PRESENT CHANNEL</t>
  </si>
  <si>
    <t>ENABLED/DISABLED DEVICE</t>
  </si>
  <si>
    <t>Global POLL ALL DEV FOR CLSS DATA</t>
  </si>
  <si>
    <t>% OF SUCCESSFUL TRANSACTIONS</t>
  </si>
  <si>
    <t>POLLING ENABLED/DISABLED</t>
  </si>
  <si>
    <t>Global POLL ALL DEV FOR INTG DATA</t>
  </si>
  <si>
    <t>UNSOL RESP ENABLED/DISABLED</t>
  </si>
  <si>
    <t>Global RESTART ALL DEV</t>
  </si>
  <si>
    <t>POLL FOR DATA</t>
  </si>
  <si>
    <t>Global TIMESYNC ALL DEV</t>
  </si>
  <si>
    <t>REMOTE RESTART</t>
  </si>
  <si>
    <t>Global CLEAR CHANNEL</t>
  </si>
  <si>
    <t>TIME SYNC REMOTE</t>
  </si>
  <si>
    <t>Global CLEAR COMM STATISTIC</t>
  </si>
  <si>
    <t>PROPAGATION DELAY MEASURE</t>
  </si>
  <si>
    <t>DEVICE ENABLED</t>
  </si>
  <si>
    <t>PRI COMM CHANNEL STATUS</t>
  </si>
  <si>
    <t>SCHEDULED POLLS ENABLED</t>
  </si>
  <si>
    <t>SEC COMM CHANNEL STATUS</t>
  </si>
  <si>
    <t>UNSOLICITED RESP ENABLED</t>
  </si>
  <si>
    <t>PRI CHANNEL IN USE</t>
  </si>
  <si>
    <t>POLL DEV FOR CLASS DATA</t>
  </si>
  <si>
    <t>SEC CHANNEL IN USE</t>
  </si>
  <si>
    <t>POLL DEV FOR INTEG DATA</t>
  </si>
  <si>
    <t>IIN RESTART BIT STATE</t>
  </si>
  <si>
    <t>DEVICE RESTART</t>
  </si>
  <si>
    <t>IIN TROUBLE BIT STATE</t>
  </si>
  <si>
    <t>TIMESYNC IN PROGRESS</t>
  </si>
  <si>
    <t>PROPAGATION DELAY IN PROG</t>
  </si>
  <si>
    <t>FORCE NEXT COM CHANNEL</t>
  </si>
  <si>
    <t>CLEAR COMM STATISTIC</t>
  </si>
  <si>
    <t>&lt;device1 real&gt;</t>
  </si>
  <si>
    <t>&lt;global&gt;</t>
  </si>
  <si>
    <t>&lt;device1 psuedo&gt;</t>
  </si>
  <si>
    <t>&lt;device2 real&gt;</t>
  </si>
  <si>
    <t>&lt;device2 psuedo&gt;</t>
  </si>
  <si>
    <t>IIN CONFIG CORRUPT BIT STATE</t>
  </si>
  <si>
    <t>IIN BUFFER OVERFL BIT STATE</t>
  </si>
  <si>
    <t>IIN LOCAL BIT STATE</t>
  </si>
  <si>
    <t>MEII / MX DEFAULT PSEUDOS</t>
  </si>
  <si>
    <t>L</t>
  </si>
  <si>
    <t>Updated for D20 non DNP points and updated the bit values for the protocol translator</t>
  </si>
  <si>
    <t>Status Points</t>
  </si>
  <si>
    <t>Correct BIT number for S9000 and 9550</t>
  </si>
  <si>
    <t>S9000 = 56 bit increments (2 for MCD and 1 for simple status)
9550 = 48 bit increments (2 for MCD and 1 for simple status)</t>
  </si>
  <si>
    <t>Do not map undefined points to an ASE SPT</t>
  </si>
  <si>
    <t>ASE SPT don't map undefined</t>
  </si>
  <si>
    <t>M</t>
  </si>
  <si>
    <t>Remove forbidden characters:     .    %     ,</t>
  </si>
  <si>
    <t>Communications type?</t>
  </si>
  <si>
    <t>8 or less characters?</t>
  </si>
  <si>
    <t>Others DI Points/Device:</t>
  </si>
  <si>
    <t>DCA 6:</t>
  </si>
  <si>
    <t>Examples: Router_PXX_EMS or D20_PXX_RTU</t>
  </si>
  <si>
    <r>
      <t xml:space="preserve">Data concentrator, Dymec, or a CDMA it's 9600 
if its RTU MPLS its </t>
    </r>
    <r>
      <rPr>
        <i/>
        <sz val="11"/>
        <color theme="1"/>
        <rFont val="Times New Roman"/>
        <family val="1"/>
      </rPr>
      <t>likely</t>
    </r>
    <r>
      <rPr>
        <sz val="11"/>
        <color theme="1"/>
        <rFont val="Times New Roman"/>
        <family val="1"/>
      </rPr>
      <t>38400</t>
    </r>
  </si>
  <si>
    <r>
      <rPr>
        <b/>
        <u/>
        <sz val="11"/>
        <color theme="1"/>
        <rFont val="Times New Roman"/>
        <family val="1"/>
      </rPr>
      <t>EMS</t>
    </r>
    <r>
      <rPr>
        <b/>
        <sz val="11"/>
        <color theme="1"/>
        <rFont val="Times New Roman"/>
        <family val="1"/>
      </rPr>
      <t xml:space="preserve"> Port Configuration</t>
    </r>
  </si>
  <si>
    <r>
      <rPr>
        <u/>
        <sz val="11"/>
        <color theme="1"/>
        <rFont val="Times New Roman"/>
        <family val="1"/>
      </rPr>
      <t>EMS</t>
    </r>
    <r>
      <rPr>
        <sz val="11"/>
        <color theme="1"/>
        <rFont val="Times New Roman"/>
        <family val="1"/>
      </rPr>
      <t xml:space="preserve"> Baud</t>
    </r>
  </si>
  <si>
    <r>
      <rPr>
        <u/>
        <sz val="11"/>
        <color theme="1"/>
        <rFont val="Times New Roman"/>
        <family val="1"/>
      </rPr>
      <t>EMS</t>
    </r>
    <r>
      <rPr>
        <sz val="11"/>
        <color theme="1"/>
        <rFont val="Times New Roman"/>
        <family val="1"/>
      </rPr>
      <t xml:space="preserve"> Reset Link on Rx Nack</t>
    </r>
  </si>
  <si>
    <r>
      <rPr>
        <u/>
        <sz val="11"/>
        <color theme="1"/>
        <rFont val="Times New Roman"/>
        <family val="1"/>
      </rPr>
      <t>EMS</t>
    </r>
    <r>
      <rPr>
        <sz val="11"/>
        <color theme="1"/>
        <rFont val="Times New Roman"/>
        <family val="1"/>
      </rPr>
      <t xml:space="preserve"> DCD</t>
    </r>
  </si>
  <si>
    <r>
      <rPr>
        <u/>
        <sz val="11"/>
        <color theme="1"/>
        <rFont val="Times New Roman"/>
        <family val="1"/>
      </rPr>
      <t>EMS</t>
    </r>
    <r>
      <rPr>
        <sz val="11"/>
        <color theme="1"/>
        <rFont val="Times New Roman"/>
        <family val="1"/>
      </rPr>
      <t xml:space="preserve"> RTS</t>
    </r>
  </si>
  <si>
    <r>
      <rPr>
        <u/>
        <sz val="11"/>
        <color theme="1"/>
        <rFont val="Times New Roman"/>
        <family val="1"/>
      </rPr>
      <t>EMS</t>
    </r>
    <r>
      <rPr>
        <sz val="11"/>
        <color theme="1"/>
        <rFont val="Times New Roman"/>
        <family val="1"/>
      </rPr>
      <t xml:space="preserve"> CTS</t>
    </r>
  </si>
  <si>
    <t>No Change</t>
  </si>
  <si>
    <t>Ports (S9000 or 9550)</t>
  </si>
  <si>
    <t>If it’s a new device make R142, otherwise leave as is. We then need to send an email to the following to ask about adding firmware upgrades to the change ticket. Q4 team, Cecil Gibby,
cavalos@burnsmcd.com, jmferron@burnsmcd.com, jmmoore@burnsmcd.com, ETFChangeTicketTeam@burnsmcd.com</t>
  </si>
  <si>
    <t>Slave (S9000)</t>
  </si>
  <si>
    <t>Poll</t>
  </si>
  <si>
    <t>Default</t>
  </si>
  <si>
    <t>Slave (Not S9000)</t>
  </si>
  <si>
    <t>Variation</t>
  </si>
  <si>
    <t>X-Status, Y-Analog</t>
  </si>
  <si>
    <t>XCount</t>
  </si>
  <si>
    <t>YCount</t>
  </si>
  <si>
    <t>Number of status frames</t>
  </si>
  <si>
    <t>Number of analog frames</t>
  </si>
  <si>
    <t>RTU must be on port 2</t>
  </si>
  <si>
    <t>For firmware 1.7,  firmware 1.8 can be any port</t>
  </si>
  <si>
    <t>S9000</t>
  </si>
  <si>
    <t>Formatting updates and added corrections</t>
  </si>
  <si>
    <t>Device online/offline status</t>
  </si>
  <si>
    <t>_POU.Offline</t>
  </si>
  <si>
    <t>Live Data</t>
  </si>
  <si>
    <t>Viewable</t>
  </si>
  <si>
    <t>Logging</t>
  </si>
  <si>
    <t>Enabled</t>
  </si>
  <si>
    <t>Add for all client devices. Place at the bottom</t>
  </si>
  <si>
    <t>Ensure it is a tap (Bitronics and Satecs are AP)</t>
  </si>
  <si>
    <t>Baud for Satec Aps</t>
  </si>
  <si>
    <t>Match the port number / Ensure no letters</t>
  </si>
  <si>
    <t>Unsolicited Response (table)</t>
  </si>
  <si>
    <t>UR Enabled</t>
  </si>
  <si>
    <t>UR Enabled: By DPA</t>
  </si>
  <si>
    <t>(if report by exception)</t>
  </si>
  <si>
    <t>Under Master Serial Port Settings</t>
  </si>
  <si>
    <t>Switched RX and Switched TX</t>
  </si>
  <si>
    <t>Hornerstown</t>
  </si>
  <si>
    <t>Justin Bivins</t>
  </si>
  <si>
    <t>HORNERSTOWN ASE SPT TRWS9000 DNP Rev A</t>
  </si>
  <si>
    <t>HORNERSTOWN ALERT S9000 DNP RTU Points List Rev B</t>
  </si>
  <si>
    <t>JB</t>
  </si>
  <si>
    <t>SET TO 2</t>
  </si>
  <si>
    <t>AET TO 2</t>
  </si>
  <si>
    <t>LEFT ON PORT 2</t>
  </si>
  <si>
    <t>Mike Liska</t>
  </si>
  <si>
    <t>Ok</t>
  </si>
  <si>
    <t>NA</t>
  </si>
  <si>
    <t>Change to 1</t>
  </si>
  <si>
    <t>Control points need to be fixed on points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</si>
</sst>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5" x14ac:knownFonts="1">
    <font>
      <sz val="11"/>
      <color theme="1"/>
      <name val="Calibri"/>
      <family val="2"/>
      <scheme val="minor"/>
    </font>
    <font>
      <u/>
      <sz val="11"/>
      <color theme="10"/>
      <name val="Calibri"/>
      <family val="2"/>
      <scheme val="minor"/>
    </font>
    <font>
      <sz val="11"/>
      <color theme="1"/>
      <name val="Times New Roman"/>
      <family val="1"/>
    </font>
    <font>
      <b/>
      <sz val="11"/>
      <color theme="1"/>
      <name val="Times New Roman"/>
      <family val="1"/>
    </font>
    <font>
      <i/>
      <sz val="11"/>
      <color theme="1"/>
      <name val="Times New Roman"/>
      <family val="1"/>
    </font>
    <font>
      <sz val="11"/>
      <name val="Times New Roman"/>
      <family val="1"/>
    </font>
    <font>
      <sz val="11"/>
      <color theme="0"/>
      <name val="Times New Roman"/>
      <family val="1"/>
    </font>
    <font>
      <b/>
      <i/>
      <sz val="11"/>
      <color theme="1"/>
      <name val="Times New Roman"/>
      <family val="1"/>
    </font>
    <font>
      <b/>
      <sz val="11"/>
      <color rgb="FFFF0000"/>
      <name val="Times New Roman"/>
      <family val="1"/>
    </font>
    <font>
      <b/>
      <sz val="20"/>
      <color theme="1"/>
      <name val="Times New Roman"/>
      <family val="1"/>
    </font>
    <font>
      <b/>
      <sz val="11"/>
      <name val="Times New Roman"/>
      <family val="1"/>
    </font>
    <font>
      <b/>
      <sz val="11"/>
      <color rgb="FF000000"/>
      <name val="Times New Roman"/>
      <family val="1"/>
    </font>
    <font>
      <sz val="11"/>
      <color theme="1"/>
      <name val="Calibri"/>
      <family val="2"/>
      <scheme val="minor"/>
    </font>
    <font>
      <b/>
      <u/>
      <sz val="11"/>
      <color theme="1"/>
      <name val="Times New Roman"/>
      <family val="1"/>
    </font>
    <font>
      <u/>
      <sz val="11"/>
      <color theme="1"/>
      <name val="Times New Roman"/>
      <family val="1"/>
    </font>
  </fonts>
  <fills count="6">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
      <patternFill patternType="solid">
        <fgColor theme="6" tint="0.59999389629810485"/>
        <bgColor indexed="64"/>
      </patternFill>
    </fill>
    <fill>
      <patternFill patternType="solid">
        <fgColor rgb="FFFFFF00"/>
        <bgColor indexed="64"/>
      </patternFill>
    </fill>
  </fills>
  <borders count="2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double">
        <color indexed="64"/>
      </bottom>
      <diagonal/>
    </border>
  </borders>
  <cellStyleXfs count="3">
    <xf numFmtId="0" fontId="0" fillId="0" borderId="0"/>
    <xf numFmtId="0" fontId="1" fillId="0" borderId="0" applyNumberFormat="0" applyFill="0" applyBorder="0" applyAlignment="0" applyProtection="0"/>
    <xf numFmtId="0" fontId="12" fillId="0" borderId="0"/>
  </cellStyleXfs>
  <cellXfs count="171">
    <xf numFmtId="0" fontId="0" fillId="0" borderId="0" xfId="0"/>
    <xf numFmtId="0" fontId="2" fillId="0" borderId="0" xfId="0" applyFont="1"/>
    <xf numFmtId="0" fontId="2" fillId="2" borderId="1" xfId="0" applyFont="1" applyFill="1" applyBorder="1"/>
    <xf numFmtId="0" fontId="2" fillId="2" borderId="2" xfId="0" applyFont="1" applyFill="1" applyBorder="1"/>
    <xf numFmtId="0" fontId="2" fillId="2" borderId="0" xfId="0" applyFont="1" applyFill="1" applyBorder="1" applyAlignment="1">
      <alignment horizontal="center"/>
    </xf>
    <xf numFmtId="0" fontId="3" fillId="2" borderId="0" xfId="0" applyNumberFormat="1" applyFont="1" applyFill="1" applyBorder="1" applyAlignment="1">
      <alignment horizontal="center"/>
    </xf>
    <xf numFmtId="0" fontId="3" fillId="2" borderId="0" xfId="0" applyNumberFormat="1" applyFont="1" applyFill="1" applyBorder="1" applyAlignment="1">
      <alignment horizontal="center" vertical="center"/>
    </xf>
    <xf numFmtId="0" fontId="2" fillId="2" borderId="3" xfId="0" applyFont="1" applyFill="1" applyBorder="1"/>
    <xf numFmtId="0" fontId="2" fillId="2" borderId="4" xfId="0" applyFont="1" applyFill="1" applyBorder="1"/>
    <xf numFmtId="0" fontId="3" fillId="0" borderId="10" xfId="0" applyFont="1" applyBorder="1"/>
    <xf numFmtId="49" fontId="2" fillId="2" borderId="0" xfId="0" applyNumberFormat="1" applyFont="1" applyFill="1" applyBorder="1"/>
    <xf numFmtId="0" fontId="4" fillId="2" borderId="0" xfId="0" applyNumberFormat="1" applyFont="1" applyFill="1" applyBorder="1" applyAlignment="1">
      <alignment horizontal="center"/>
    </xf>
    <xf numFmtId="0" fontId="2" fillId="2" borderId="0" xfId="0" applyFont="1" applyFill="1" applyBorder="1"/>
    <xf numFmtId="49" fontId="4" fillId="2" borderId="0" xfId="0" applyNumberFormat="1" applyFont="1" applyFill="1" applyBorder="1" applyAlignment="1">
      <alignment horizontal="center" vertical="center"/>
    </xf>
    <xf numFmtId="0" fontId="2" fillId="2" borderId="6" xfId="0" applyFont="1" applyFill="1" applyBorder="1"/>
    <xf numFmtId="0" fontId="2" fillId="0" borderId="11" xfId="0" applyFont="1" applyBorder="1" applyAlignment="1">
      <alignment horizontal="left" indent="1"/>
    </xf>
    <xf numFmtId="0" fontId="2" fillId="0" borderId="5" xfId="0" applyNumberFormat="1" applyFont="1" applyBorder="1" applyAlignment="1">
      <alignment horizontal="center" vertical="center"/>
    </xf>
    <xf numFmtId="0" fontId="2" fillId="2" borderId="0" xfId="0" applyFont="1" applyFill="1" applyBorder="1" applyAlignment="1">
      <alignment horizontal="center" vertical="center"/>
    </xf>
    <xf numFmtId="0" fontId="2" fillId="2" borderId="5" xfId="0" applyFont="1" applyFill="1" applyBorder="1" applyAlignment="1">
      <alignment horizontal="center" vertical="center"/>
    </xf>
    <xf numFmtId="14" fontId="2" fillId="0" borderId="5" xfId="0" applyNumberFormat="1" applyFont="1" applyBorder="1" applyAlignment="1">
      <alignment horizontal="center" vertical="center"/>
    </xf>
    <xf numFmtId="0" fontId="2" fillId="2" borderId="5" xfId="0" applyFont="1" applyFill="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NumberFormat="1" applyFont="1" applyFill="1" applyBorder="1" applyAlignment="1">
      <alignment horizontal="center" vertical="center" wrapText="1"/>
    </xf>
    <xf numFmtId="0" fontId="2" fillId="0" borderId="12" xfId="0" applyFont="1" applyBorder="1" applyAlignment="1">
      <alignment horizontal="left" indent="1"/>
    </xf>
    <xf numFmtId="0" fontId="2" fillId="2" borderId="7" xfId="0" applyFont="1" applyFill="1" applyBorder="1"/>
    <xf numFmtId="0" fontId="2" fillId="2" borderId="8" xfId="0" applyFont="1" applyFill="1" applyBorder="1"/>
    <xf numFmtId="0" fontId="2" fillId="2" borderId="8" xfId="0" applyNumberFormat="1" applyFont="1" applyFill="1" applyBorder="1"/>
    <xf numFmtId="0" fontId="2" fillId="2" borderId="8" xfId="0" applyNumberFormat="1" applyFont="1" applyFill="1" applyBorder="1" applyAlignment="1">
      <alignment horizontal="center" vertical="center"/>
    </xf>
    <xf numFmtId="0" fontId="2" fillId="2" borderId="9" xfId="0" applyFont="1" applyFill="1" applyBorder="1"/>
    <xf numFmtId="0" fontId="2" fillId="2" borderId="2" xfId="0" applyFont="1" applyFill="1" applyBorder="1" applyAlignment="1">
      <alignment horizontal="left"/>
    </xf>
    <xf numFmtId="0" fontId="3" fillId="2" borderId="2" xfId="0" applyNumberFormat="1" applyFont="1" applyFill="1" applyBorder="1" applyAlignment="1">
      <alignment horizontal="center"/>
    </xf>
    <xf numFmtId="0" fontId="3" fillId="0" borderId="10" xfId="0" applyFont="1" applyBorder="1" applyAlignment="1">
      <alignment horizontal="left"/>
    </xf>
    <xf numFmtId="0" fontId="2" fillId="2" borderId="4" xfId="0" applyFont="1" applyFill="1" applyBorder="1" applyAlignment="1">
      <alignment vertical="center"/>
    </xf>
    <xf numFmtId="0" fontId="2" fillId="0" borderId="11" xfId="0" applyFont="1" applyBorder="1" applyAlignment="1">
      <alignment horizontal="left" vertical="center" indent="1"/>
    </xf>
    <xf numFmtId="0" fontId="2" fillId="2" borderId="0" xfId="0" applyFont="1" applyFill="1" applyBorder="1" applyAlignment="1">
      <alignment vertical="center"/>
    </xf>
    <xf numFmtId="0" fontId="2" fillId="0" borderId="5" xfId="0" applyNumberFormat="1" applyFont="1" applyFill="1" applyBorder="1" applyAlignment="1">
      <alignment horizontal="center" vertical="center"/>
    </xf>
    <xf numFmtId="0" fontId="5" fillId="0" borderId="5" xfId="0" applyFont="1" applyBorder="1" applyAlignment="1">
      <alignment horizontal="center" vertical="center" wrapText="1"/>
    </xf>
    <xf numFmtId="0" fontId="2" fillId="2" borderId="6" xfId="0" applyFont="1" applyFill="1" applyBorder="1" applyAlignment="1">
      <alignment vertical="center"/>
    </xf>
    <xf numFmtId="0" fontId="2" fillId="0" borderId="5" xfId="0" applyFont="1" applyBorder="1" applyAlignment="1">
      <alignment horizontal="center" vertical="center"/>
    </xf>
    <xf numFmtId="0" fontId="2" fillId="0" borderId="12" xfId="0" applyFont="1" applyBorder="1" applyAlignment="1">
      <alignment horizontal="left" vertical="center" indent="1"/>
    </xf>
    <xf numFmtId="0" fontId="2" fillId="2" borderId="0" xfId="0" applyFont="1" applyFill="1" applyBorder="1" applyAlignment="1">
      <alignment horizontal="left"/>
    </xf>
    <xf numFmtId="0" fontId="3" fillId="0" borderId="11" xfId="0" applyFont="1" applyBorder="1" applyAlignment="1">
      <alignment horizontal="left" vertical="center" indent="1"/>
    </xf>
    <xf numFmtId="0" fontId="2" fillId="2" borderId="8" xfId="0" applyFont="1" applyFill="1" applyBorder="1" applyAlignment="1">
      <alignment horizontal="left"/>
    </xf>
    <xf numFmtId="0" fontId="3" fillId="2" borderId="8" xfId="0" applyNumberFormat="1" applyFont="1" applyFill="1" applyBorder="1" applyAlignment="1">
      <alignment horizontal="center"/>
    </xf>
    <xf numFmtId="0" fontId="3" fillId="2" borderId="8" xfId="0" applyNumberFormat="1" applyFont="1" applyFill="1" applyBorder="1" applyAlignment="1">
      <alignment horizontal="center" vertical="center"/>
    </xf>
    <xf numFmtId="0" fontId="6" fillId="0" borderId="0" xfId="0" applyFont="1"/>
    <xf numFmtId="0" fontId="2" fillId="2" borderId="0" xfId="0" applyNumberFormat="1" applyFont="1" applyFill="1" applyBorder="1" applyAlignment="1">
      <alignment horizontal="center" vertical="center"/>
    </xf>
    <xf numFmtId="0" fontId="3" fillId="0" borderId="10" xfId="0" applyFont="1" applyFill="1" applyBorder="1" applyAlignment="1">
      <alignment horizontal="left"/>
    </xf>
    <xf numFmtId="0" fontId="3" fillId="0" borderId="11" xfId="0" applyFont="1" applyFill="1" applyBorder="1" applyAlignment="1">
      <alignment horizontal="left"/>
    </xf>
    <xf numFmtId="0" fontId="2" fillId="2" borderId="5" xfId="0" applyFont="1" applyFill="1" applyBorder="1"/>
    <xf numFmtId="0" fontId="2" fillId="0" borderId="5" xfId="0" applyFont="1" applyBorder="1"/>
    <xf numFmtId="0" fontId="2" fillId="0" borderId="11" xfId="0" applyFont="1" applyFill="1" applyBorder="1" applyAlignment="1">
      <alignment horizontal="left" indent="1"/>
    </xf>
    <xf numFmtId="0" fontId="2" fillId="2" borderId="8" xfId="0" applyNumberFormat="1" applyFont="1" applyFill="1" applyBorder="1" applyAlignment="1">
      <alignment horizontal="left"/>
    </xf>
    <xf numFmtId="0" fontId="2" fillId="2" borderId="8" xfId="0" applyFont="1" applyFill="1" applyBorder="1" applyAlignment="1">
      <alignment horizontal="center"/>
    </xf>
    <xf numFmtId="0" fontId="7" fillId="0" borderId="11" xfId="0" applyFont="1" applyBorder="1" applyAlignment="1">
      <alignment horizontal="left" indent="1"/>
    </xf>
    <xf numFmtId="0" fontId="2" fillId="0" borderId="11" xfId="0" applyFont="1" applyBorder="1" applyAlignment="1">
      <alignment horizontal="left" indent="2"/>
    </xf>
    <xf numFmtId="0" fontId="2" fillId="2" borderId="0" xfId="0" applyNumberFormat="1" applyFont="1" applyFill="1" applyBorder="1" applyAlignment="1">
      <alignment horizontal="left"/>
    </xf>
    <xf numFmtId="0" fontId="2" fillId="0" borderId="11" xfId="0" quotePrefix="1" applyFont="1" applyBorder="1" applyAlignment="1">
      <alignment horizontal="left" indent="1"/>
    </xf>
    <xf numFmtId="0" fontId="3" fillId="0" borderId="10" xfId="0" applyFont="1" applyBorder="1" applyAlignment="1">
      <alignment horizontal="left" vertical="center"/>
    </xf>
    <xf numFmtId="0" fontId="2" fillId="0" borderId="5" xfId="0" quotePrefix="1" applyNumberFormat="1" applyFont="1" applyBorder="1" applyAlignment="1">
      <alignment horizontal="center" vertical="center"/>
    </xf>
    <xf numFmtId="0" fontId="3" fillId="0" borderId="12" xfId="0" applyFont="1" applyBorder="1" applyAlignment="1">
      <alignment horizontal="left" vertical="center"/>
    </xf>
    <xf numFmtId="0" fontId="2" fillId="2" borderId="5" xfId="0" applyFont="1" applyFill="1" applyBorder="1" applyAlignment="1">
      <alignment vertical="center" wrapText="1"/>
    </xf>
    <xf numFmtId="0" fontId="2" fillId="2" borderId="2" xfId="0" applyFont="1" applyFill="1" applyBorder="1" applyAlignment="1">
      <alignment vertical="center" wrapText="1"/>
    </xf>
    <xf numFmtId="0" fontId="2" fillId="0" borderId="5" xfId="0" applyFont="1" applyFill="1" applyBorder="1" applyAlignment="1">
      <alignment horizontal="center" vertical="center"/>
    </xf>
    <xf numFmtId="0" fontId="2" fillId="2" borderId="5" xfId="0" applyFont="1" applyFill="1" applyBorder="1" applyAlignment="1">
      <alignment horizontal="center"/>
    </xf>
    <xf numFmtId="0" fontId="3" fillId="0" borderId="11" xfId="0" applyFont="1" applyBorder="1" applyAlignment="1">
      <alignment horizontal="left"/>
    </xf>
    <xf numFmtId="0" fontId="3" fillId="0" borderId="11" xfId="0" applyFont="1" applyBorder="1" applyAlignment="1">
      <alignment horizontal="left" indent="1"/>
    </xf>
    <xf numFmtId="0" fontId="2" fillId="2" borderId="8" xfId="0" applyFont="1" applyFill="1" applyBorder="1" applyAlignment="1">
      <alignment vertical="center" wrapText="1"/>
    </xf>
    <xf numFmtId="0" fontId="4" fillId="0" borderId="5" xfId="0" applyNumberFormat="1" applyFont="1" applyFill="1" applyBorder="1" applyAlignment="1">
      <alignment horizontal="center" vertical="center"/>
    </xf>
    <xf numFmtId="0" fontId="4" fillId="4" borderId="5" xfId="0" applyNumberFormat="1" applyFont="1" applyFill="1" applyBorder="1" applyAlignment="1">
      <alignment horizontal="center" vertical="center"/>
    </xf>
    <xf numFmtId="0" fontId="2" fillId="0" borderId="12" xfId="0" applyFont="1" applyBorder="1" applyAlignment="1">
      <alignment horizontal="left" indent="2"/>
    </xf>
    <xf numFmtId="0" fontId="4" fillId="2" borderId="8" xfId="0" applyNumberFormat="1" applyFont="1" applyFill="1" applyBorder="1" applyAlignment="1">
      <alignment horizontal="center"/>
    </xf>
    <xf numFmtId="0" fontId="6" fillId="0" borderId="0" xfId="0" applyFont="1" applyFill="1"/>
    <xf numFmtId="0" fontId="2" fillId="2" borderId="5" xfId="0" applyNumberFormat="1" applyFont="1" applyFill="1" applyBorder="1" applyAlignment="1">
      <alignment horizontal="center" vertical="center"/>
    </xf>
    <xf numFmtId="0" fontId="2" fillId="2" borderId="11" xfId="0" applyFont="1" applyFill="1" applyBorder="1" applyAlignment="1">
      <alignment horizontal="center" vertical="center"/>
    </xf>
    <xf numFmtId="0" fontId="2" fillId="2" borderId="2" xfId="0" applyFont="1" applyFill="1" applyBorder="1" applyAlignment="1">
      <alignment horizontal="center" vertical="center"/>
    </xf>
    <xf numFmtId="0" fontId="2" fillId="0" borderId="11" xfId="0" applyFont="1" applyFill="1" applyBorder="1" applyAlignment="1">
      <alignment horizontal="left" indent="2"/>
    </xf>
    <xf numFmtId="0" fontId="7" fillId="0" borderId="11" xfId="0" applyFont="1" applyFill="1" applyBorder="1" applyAlignment="1">
      <alignment horizontal="left" indent="1"/>
    </xf>
    <xf numFmtId="0" fontId="2" fillId="2" borderId="5" xfId="0" applyFont="1" applyFill="1" applyBorder="1" applyAlignment="1">
      <alignment horizontal="center" wrapText="1"/>
    </xf>
    <xf numFmtId="0" fontId="3" fillId="0" borderId="10" xfId="0" applyFont="1" applyFill="1" applyBorder="1"/>
    <xf numFmtId="0" fontId="7" fillId="0" borderId="11" xfId="0" applyFont="1" applyBorder="1" applyAlignment="1">
      <alignment horizontal="left" indent="2"/>
    </xf>
    <xf numFmtId="0" fontId="2" fillId="0" borderId="11" xfId="0" applyFont="1" applyBorder="1" applyAlignment="1">
      <alignment horizontal="left" indent="3"/>
    </xf>
    <xf numFmtId="0" fontId="2" fillId="0" borderId="11" xfId="0" applyFont="1" applyBorder="1" applyAlignment="1">
      <alignment horizontal="left" vertical="center" indent="3"/>
    </xf>
    <xf numFmtId="0" fontId="2" fillId="0" borderId="12" xfId="0" applyFont="1" applyBorder="1" applyAlignment="1">
      <alignment horizontal="left" indent="3"/>
    </xf>
    <xf numFmtId="49" fontId="2" fillId="0" borderId="5" xfId="0" applyNumberFormat="1" applyFont="1" applyFill="1" applyBorder="1" applyAlignment="1">
      <alignment horizontal="center" vertical="center"/>
    </xf>
    <xf numFmtId="0" fontId="3" fillId="0" borderId="11" xfId="0" applyFont="1" applyBorder="1"/>
    <xf numFmtId="49" fontId="4" fillId="2" borderId="0" xfId="0" applyNumberFormat="1" applyFont="1" applyFill="1" applyBorder="1" applyAlignment="1">
      <alignment horizontal="center"/>
    </xf>
    <xf numFmtId="0" fontId="2" fillId="2" borderId="0" xfId="0" applyFont="1" applyFill="1" applyBorder="1" applyAlignment="1">
      <alignment horizontal="center" vertical="center" wrapText="1"/>
    </xf>
    <xf numFmtId="0" fontId="3" fillId="0" borderId="11" xfId="0" applyFont="1" applyFill="1" applyBorder="1"/>
    <xf numFmtId="0" fontId="3" fillId="0" borderId="11" xfId="0" applyFont="1" applyFill="1" applyBorder="1" applyAlignment="1">
      <alignment horizontal="left" indent="1"/>
    </xf>
    <xf numFmtId="0" fontId="2" fillId="2" borderId="5" xfId="0" quotePrefix="1"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2" borderId="5" xfId="0" applyNumberFormat="1" applyFont="1" applyFill="1" applyBorder="1" applyAlignment="1">
      <alignment horizontal="center" vertical="center" wrapText="1"/>
    </xf>
    <xf numFmtId="0" fontId="2" fillId="2" borderId="0" xfId="0" applyNumberFormat="1" applyFont="1" applyFill="1" applyAlignment="1">
      <alignment horizontal="center" vertical="center"/>
    </xf>
    <xf numFmtId="0" fontId="2" fillId="0" borderId="11" xfId="0" quotePrefix="1" applyFont="1" applyFill="1" applyBorder="1" applyAlignment="1">
      <alignment horizontal="left" indent="1"/>
    </xf>
    <xf numFmtId="0" fontId="3" fillId="2" borderId="0" xfId="0" applyFont="1" applyFill="1" applyBorder="1" applyAlignment="1">
      <alignment horizontal="left"/>
    </xf>
    <xf numFmtId="0" fontId="3" fillId="2" borderId="0" xfId="0" applyFont="1" applyFill="1"/>
    <xf numFmtId="0" fontId="2" fillId="0" borderId="0" xfId="0" applyFont="1" applyFill="1" applyBorder="1" applyAlignment="1">
      <alignment horizontal="left" indent="1"/>
    </xf>
    <xf numFmtId="0" fontId="2" fillId="0" borderId="0" xfId="0" applyFont="1" applyFill="1" applyBorder="1" applyAlignment="1">
      <alignment horizontal="left" wrapText="1" indent="1"/>
    </xf>
    <xf numFmtId="0" fontId="2" fillId="0" borderId="0" xfId="0" applyFont="1" applyAlignment="1">
      <alignment horizontal="left" indent="1"/>
    </xf>
    <xf numFmtId="0" fontId="2" fillId="0" borderId="0" xfId="0" applyFont="1" applyAlignment="1">
      <alignment horizontal="left" indent="2"/>
    </xf>
    <xf numFmtId="0" fontId="2" fillId="5" borderId="0" xfId="0" applyFont="1" applyFill="1" applyAlignment="1">
      <alignment horizontal="left" indent="1"/>
    </xf>
    <xf numFmtId="0" fontId="2" fillId="0" borderId="0" xfId="0" quotePrefix="1" applyFont="1" applyAlignment="1">
      <alignment horizontal="left" indent="1"/>
    </xf>
    <xf numFmtId="0" fontId="2" fillId="0" borderId="0" xfId="0" applyFont="1" applyFill="1" applyBorder="1" applyAlignment="1">
      <alignment horizontal="left" indent="2"/>
    </xf>
    <xf numFmtId="0" fontId="2" fillId="0" borderId="0" xfId="0" applyFont="1" applyFill="1" applyBorder="1" applyAlignment="1">
      <alignment horizontal="left"/>
    </xf>
    <xf numFmtId="0" fontId="10" fillId="2" borderId="0" xfId="0" applyFont="1" applyFill="1"/>
    <xf numFmtId="0" fontId="2" fillId="0" borderId="0" xfId="0" quotePrefix="1" applyFont="1" applyAlignment="1">
      <alignment horizontal="left" indent="2"/>
    </xf>
    <xf numFmtId="0" fontId="2" fillId="5" borderId="0" xfId="0" applyFont="1" applyFill="1" applyBorder="1" applyAlignment="1">
      <alignment horizontal="left" indent="1"/>
    </xf>
    <xf numFmtId="0" fontId="3" fillId="0" borderId="0" xfId="0" applyFont="1" applyAlignment="1">
      <alignment horizontal="right"/>
    </xf>
    <xf numFmtId="0" fontId="3" fillId="0" borderId="0" xfId="0" applyFont="1"/>
    <xf numFmtId="0" fontId="3" fillId="0" borderId="0" xfId="0" applyFont="1" applyAlignment="1">
      <alignment horizontal="center"/>
    </xf>
    <xf numFmtId="0" fontId="2" fillId="0" borderId="0" xfId="0" applyFont="1" applyAlignment="1">
      <alignment horizontal="left"/>
    </xf>
    <xf numFmtId="0" fontId="2" fillId="3" borderId="1" xfId="0" applyFont="1" applyFill="1" applyBorder="1"/>
    <xf numFmtId="0" fontId="2" fillId="3" borderId="2" xfId="0" applyFont="1" applyFill="1" applyBorder="1"/>
    <xf numFmtId="0" fontId="2" fillId="3" borderId="3" xfId="0" applyFont="1" applyFill="1" applyBorder="1"/>
    <xf numFmtId="0" fontId="2" fillId="0" borderId="0" xfId="0" applyFont="1" applyFill="1" applyBorder="1"/>
    <xf numFmtId="0" fontId="2" fillId="3" borderId="4" xfId="0" applyFont="1" applyFill="1" applyBorder="1"/>
    <xf numFmtId="0" fontId="11" fillId="0" borderId="5" xfId="0" applyFont="1" applyFill="1" applyBorder="1" applyAlignment="1">
      <alignment horizontal="center"/>
    </xf>
    <xf numFmtId="0" fontId="2" fillId="3" borderId="6" xfId="0" applyFont="1" applyFill="1" applyBorder="1"/>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0" fontId="2" fillId="0" borderId="5" xfId="0" applyFont="1" applyFill="1" applyBorder="1" applyAlignment="1">
      <alignment horizontal="left"/>
    </xf>
    <xf numFmtId="0" fontId="2" fillId="3" borderId="7" xfId="0" applyFont="1" applyFill="1" applyBorder="1"/>
    <xf numFmtId="0" fontId="2" fillId="3" borderId="8" xfId="0" applyFont="1" applyFill="1" applyBorder="1"/>
    <xf numFmtId="0" fontId="2" fillId="3" borderId="9" xfId="0" applyFont="1" applyFill="1" applyBorder="1"/>
    <xf numFmtId="0" fontId="2" fillId="0" borderId="0" xfId="0" applyFont="1" applyAlignment="1">
      <alignment horizontal="center" vertical="center"/>
    </xf>
    <xf numFmtId="0" fontId="2" fillId="2" borderId="8"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0" xfId="0" applyNumberFormat="1" applyFont="1" applyFill="1" applyBorder="1" applyAlignment="1">
      <alignment horizontal="center" vertical="center"/>
    </xf>
    <xf numFmtId="0" fontId="2" fillId="2" borderId="0" xfId="0" applyNumberFormat="1" applyFont="1" applyFill="1" applyBorder="1" applyAlignment="1">
      <alignment horizontal="center"/>
    </xf>
    <xf numFmtId="49" fontId="2" fillId="2" borderId="0" xfId="0" applyNumberFormat="1" applyFont="1" applyFill="1" applyBorder="1" applyAlignment="1">
      <alignment horizontal="center"/>
    </xf>
    <xf numFmtId="0" fontId="3" fillId="0" borderId="5" xfId="0" applyFont="1" applyFill="1" applyBorder="1" applyAlignment="1">
      <alignment horizontal="left" vertical="top" wrapText="1"/>
    </xf>
    <xf numFmtId="0" fontId="4" fillId="2" borderId="5" xfId="0" applyFont="1" applyFill="1" applyBorder="1" applyAlignment="1">
      <alignment horizontal="center" vertical="center"/>
    </xf>
    <xf numFmtId="0" fontId="12" fillId="0" borderId="0" xfId="2"/>
    <xf numFmtId="0" fontId="12" fillId="0" borderId="0" xfId="2" applyAlignment="1">
      <alignment horizontal="left"/>
    </xf>
    <xf numFmtId="0" fontId="12" fillId="0" borderId="15" xfId="2" applyBorder="1"/>
    <xf numFmtId="0" fontId="12" fillId="0" borderId="16" xfId="2" applyBorder="1"/>
    <xf numFmtId="0" fontId="12" fillId="0" borderId="17" xfId="2" applyBorder="1"/>
    <xf numFmtId="0" fontId="12" fillId="0" borderId="18" xfId="2" applyBorder="1"/>
    <xf numFmtId="0" fontId="12" fillId="0" borderId="5" xfId="2" applyBorder="1"/>
    <xf numFmtId="0" fontId="12" fillId="0" borderId="19" xfId="2" applyBorder="1"/>
    <xf numFmtId="0" fontId="12" fillId="0" borderId="20" xfId="2" applyBorder="1"/>
    <xf numFmtId="0" fontId="12" fillId="0" borderId="21" xfId="2" applyBorder="1"/>
    <xf numFmtId="0" fontId="12" fillId="0" borderId="22" xfId="2" applyBorder="1"/>
    <xf numFmtId="0" fontId="12" fillId="0" borderId="23" xfId="2" applyBorder="1"/>
    <xf numFmtId="0" fontId="12" fillId="0" borderId="0" xfId="2" applyBorder="1"/>
    <xf numFmtId="0" fontId="12" fillId="0" borderId="24" xfId="2" applyBorder="1"/>
    <xf numFmtId="0" fontId="2" fillId="0" borderId="5" xfId="0" applyFont="1" applyFill="1" applyBorder="1" applyAlignment="1">
      <alignment horizontal="left" wrapText="1"/>
    </xf>
    <xf numFmtId="0" fontId="4" fillId="4" borderId="2" xfId="0" applyNumberFormat="1" applyFont="1" applyFill="1" applyBorder="1" applyAlignment="1">
      <alignment horizontal="center" vertical="center"/>
    </xf>
    <xf numFmtId="0" fontId="4" fillId="2" borderId="4" xfId="0" applyNumberFormat="1" applyFont="1" applyFill="1" applyBorder="1" applyAlignment="1">
      <alignment horizontal="center"/>
    </xf>
    <xf numFmtId="0" fontId="2" fillId="2" borderId="28" xfId="0" applyFont="1" applyFill="1" applyBorder="1" applyAlignment="1">
      <alignment horizontal="center" vertical="center"/>
    </xf>
    <xf numFmtId="0" fontId="7" fillId="0" borderId="10" xfId="0" applyFont="1" applyBorder="1" applyAlignment="1">
      <alignment horizontal="left" indent="1"/>
    </xf>
    <xf numFmtId="0" fontId="2" fillId="0" borderId="12" xfId="0" applyFont="1" applyBorder="1" applyAlignment="1">
      <alignment horizontal="left" indent="4"/>
    </xf>
    <xf numFmtId="0" fontId="1" fillId="2" borderId="5" xfId="1" applyFill="1" applyBorder="1" applyAlignment="1">
      <alignment horizontal="center" vertical="center" wrapText="1"/>
    </xf>
    <xf numFmtId="0" fontId="2" fillId="0" borderId="12" xfId="0" applyFont="1" applyBorder="1" applyAlignment="1">
      <alignment horizontal="left" vertical="center" indent="2"/>
    </xf>
    <xf numFmtId="0" fontId="2" fillId="0" borderId="11" xfId="0" applyFont="1" applyBorder="1" applyAlignment="1">
      <alignment horizontal="left" vertical="center" indent="2"/>
    </xf>
    <xf numFmtId="0" fontId="2" fillId="5" borderId="5" xfId="0" applyNumberFormat="1" applyFont="1" applyFill="1" applyBorder="1" applyAlignment="1">
      <alignment horizontal="center" vertical="center"/>
    </xf>
    <xf numFmtId="0" fontId="2" fillId="2" borderId="10" xfId="0" applyFont="1" applyFill="1" applyBorder="1" applyAlignment="1">
      <alignment horizontal="center" vertical="center" wrapText="1"/>
    </xf>
    <xf numFmtId="0" fontId="2" fillId="2" borderId="12" xfId="0" applyFont="1" applyFill="1" applyBorder="1" applyAlignment="1">
      <alignment horizontal="center" vertical="center" wrapText="1"/>
    </xf>
    <xf numFmtId="0" fontId="0" fillId="0" borderId="27" xfId="2" applyFont="1" applyBorder="1" applyAlignment="1">
      <alignment horizontal="center"/>
    </xf>
    <xf numFmtId="0" fontId="12" fillId="0" borderId="26" xfId="2" applyBorder="1" applyAlignment="1">
      <alignment horizontal="center"/>
    </xf>
    <xf numFmtId="0" fontId="12" fillId="0" borderId="25" xfId="2" applyBorder="1" applyAlignment="1">
      <alignment horizontal="center"/>
    </xf>
    <xf numFmtId="0" fontId="12" fillId="0" borderId="27" xfId="2" applyBorder="1" applyAlignment="1">
      <alignment horizontal="center"/>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2" fillId="2" borderId="13"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3" fillId="2" borderId="2" xfId="0" applyNumberFormat="1" applyFont="1" applyFill="1" applyBorder="1" applyAlignment="1">
      <alignment horizontal="center"/>
    </xf>
    <xf numFmtId="0" fontId="4" fillId="2" borderId="8" xfId="0" applyNumberFormat="1" applyFont="1" applyFill="1" applyBorder="1" applyAlignment="1">
      <alignment horizontal="center"/>
    </xf>
    <xf numFmtId="0" fontId="9" fillId="0" borderId="5" xfId="0" applyFont="1" applyBorder="1" applyAlignment="1">
      <alignment horizontal="center" vertical="center"/>
    </xf>
    <xf numFmtId="0" fontId="2" fillId="0" borderId="5" xfId="0" applyFont="1" applyBorder="1" applyAlignment="1">
      <alignment horizontal="left"/>
    </xf>
  </cellXfs>
  <cellStyles count="3">
    <cellStyle name="Hyperlink" xfId="1" builtinId="8"/>
    <cellStyle name="Normal" xfId="0" builtinId="0"/>
    <cellStyle name="Normal 2" xfId="2" xr:uid="{00000000-0005-0000-0000-000002000000}"/>
  </cellStyles>
  <dxfs count="11">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gColor auto="1"/>
        </patternFill>
      </fill>
    </dxf>
    <dxf>
      <fill>
        <patternFill patternType="lightUp">
          <fgColor auto="1"/>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121920</xdr:colOff>
      <xdr:row>1</xdr:row>
      <xdr:rowOff>15240</xdr:rowOff>
    </xdr:from>
    <xdr:to>
      <xdr:col>27</xdr:col>
      <xdr:colOff>7620</xdr:colOff>
      <xdr:row>6</xdr:row>
      <xdr:rowOff>175260</xdr:rowOff>
    </xdr:to>
    <xdr:sp macro="[0]!UnhideTabs" textlink="">
      <xdr:nvSpPr>
        <xdr:cNvPr id="6" name="Rounded Rectangle 5">
          <a:extLst>
            <a:ext uri="{FF2B5EF4-FFF2-40B4-BE49-F238E27FC236}">
              <a16:creationId xmlns:a16="http://schemas.microsoft.com/office/drawing/2014/main" id="{00000000-0008-0000-0000-000006000000}"/>
            </a:ext>
          </a:extLst>
        </xdr:cNvPr>
        <xdr:cNvSpPr/>
      </xdr:nvSpPr>
      <xdr:spPr>
        <a:xfrm>
          <a:off x="7078980" y="19812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Maintenance</a:t>
          </a:r>
          <a:endParaRPr lang="en-US" sz="3600" b="1">
            <a:latin typeface="Times New Roman" panose="02020603050405020304" pitchFamily="18" charset="0"/>
            <a:cs typeface="Times New Roman" panose="02020603050405020304" pitchFamily="18" charset="0"/>
          </a:endParaRPr>
        </a:p>
      </xdr:txBody>
    </xdr:sp>
    <xdr:clientData/>
  </xdr:twoCellAnchor>
  <xdr:twoCellAnchor>
    <xdr:from>
      <xdr:col>10</xdr:col>
      <xdr:colOff>121920</xdr:colOff>
      <xdr:row>8</xdr:row>
      <xdr:rowOff>38100</xdr:rowOff>
    </xdr:from>
    <xdr:to>
      <xdr:col>27</xdr:col>
      <xdr:colOff>7620</xdr:colOff>
      <xdr:row>14</xdr:row>
      <xdr:rowOff>15240</xdr:rowOff>
    </xdr:to>
    <xdr:sp macro="[0]!DoneHideSheets" textlink="">
      <xdr:nvSpPr>
        <xdr:cNvPr id="7" name="Rounded Rectangle 6">
          <a:extLst>
            <a:ext uri="{FF2B5EF4-FFF2-40B4-BE49-F238E27FC236}">
              <a16:creationId xmlns:a16="http://schemas.microsoft.com/office/drawing/2014/main" id="{00000000-0008-0000-0000-000007000000}"/>
            </a:ext>
          </a:extLst>
        </xdr:cNvPr>
        <xdr:cNvSpPr/>
      </xdr:nvSpPr>
      <xdr:spPr>
        <a:xfrm>
          <a:off x="7078980" y="150114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DONE</a:t>
          </a:r>
          <a:endParaRPr lang="en-US" sz="3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7620</xdr:colOff>
      <xdr:row>13</xdr:row>
      <xdr:rowOff>1</xdr:rowOff>
    </xdr:from>
    <xdr:to>
      <xdr:col>29</xdr:col>
      <xdr:colOff>166033</xdr:colOff>
      <xdr:row>25</xdr:row>
      <xdr:rowOff>167641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018520" y="1927861"/>
          <a:ext cx="3922693" cy="236982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129540</xdr:rowOff>
    </xdr:from>
    <xdr:to>
      <xdr:col>9</xdr:col>
      <xdr:colOff>38100</xdr:colOff>
      <xdr:row>18</xdr:row>
      <xdr:rowOff>73655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0" y="1005840"/>
          <a:ext cx="9837420" cy="2222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1181100</xdr:colOff>
      <xdr:row>9</xdr:row>
      <xdr:rowOff>129540</xdr:rowOff>
    </xdr:from>
    <xdr:to>
      <xdr:col>7</xdr:col>
      <xdr:colOff>1524695</xdr:colOff>
      <xdr:row>19</xdr:row>
      <xdr:rowOff>144933</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790700" y="1775460"/>
          <a:ext cx="8016935" cy="176799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1082040</xdr:colOff>
      <xdr:row>6</xdr:row>
      <xdr:rowOff>160020</xdr:rowOff>
    </xdr:from>
    <xdr:to>
      <xdr:col>7</xdr:col>
      <xdr:colOff>1872615</xdr:colOff>
      <xdr:row>10</xdr:row>
      <xdr:rowOff>95250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 y="1074420"/>
          <a:ext cx="8357235"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66</xdr:row>
      <xdr:rowOff>111836</xdr:rowOff>
    </xdr:from>
    <xdr:to>
      <xdr:col>1</xdr:col>
      <xdr:colOff>3474505</xdr:colOff>
      <xdr:row>83</xdr:row>
      <xdr:rowOff>137193</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190500" y="12181916"/>
          <a:ext cx="3474505" cy="3004777"/>
        </a:xfrm>
        <a:prstGeom prst="rect">
          <a:avLst/>
        </a:prstGeom>
      </xdr:spPr>
    </xdr:pic>
    <xdr:clientData/>
  </xdr:twoCellAnchor>
  <xdr:twoCellAnchor editAs="oneCell">
    <xdr:from>
      <xdr:col>1</xdr:col>
      <xdr:colOff>0</xdr:colOff>
      <xdr:row>30</xdr:row>
      <xdr:rowOff>175260</xdr:rowOff>
    </xdr:from>
    <xdr:to>
      <xdr:col>1</xdr:col>
      <xdr:colOff>3453350</xdr:colOff>
      <xdr:row>48</xdr:row>
      <xdr:rowOff>49147</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90500" y="5661660"/>
          <a:ext cx="3453350" cy="3028567"/>
        </a:xfrm>
        <a:prstGeom prst="rect">
          <a:avLst/>
        </a:prstGeom>
      </xdr:spPr>
    </xdr:pic>
    <xdr:clientData/>
  </xdr:twoCellAnchor>
  <xdr:twoCellAnchor editAs="oneCell">
    <xdr:from>
      <xdr:col>1</xdr:col>
      <xdr:colOff>0</xdr:colOff>
      <xdr:row>48</xdr:row>
      <xdr:rowOff>146403</xdr:rowOff>
    </xdr:from>
    <xdr:to>
      <xdr:col>1</xdr:col>
      <xdr:colOff>3476522</xdr:colOff>
      <xdr:row>66</xdr:row>
      <xdr:rowOff>14580</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190500" y="8924643"/>
          <a:ext cx="3476522" cy="3022857"/>
        </a:xfrm>
        <a:prstGeom prst="rect">
          <a:avLst/>
        </a:prstGeom>
      </xdr:spPr>
    </xdr:pic>
    <xdr:clientData/>
  </xdr:twoCellAnchor>
  <xdr:twoCellAnchor>
    <xdr:from>
      <xdr:col>1</xdr:col>
      <xdr:colOff>701040</xdr:colOff>
      <xdr:row>42</xdr:row>
      <xdr:rowOff>121920</xdr:rowOff>
    </xdr:from>
    <xdr:to>
      <xdr:col>1</xdr:col>
      <xdr:colOff>3291840</xdr:colOff>
      <xdr:row>46</xdr:row>
      <xdr:rowOff>152400</xdr:rowOff>
    </xdr:to>
    <xdr:sp macro="" textlink="">
      <xdr:nvSpPr>
        <xdr:cNvPr id="5" name="Rounded Rectangle 4">
          <a:extLst>
            <a:ext uri="{FF2B5EF4-FFF2-40B4-BE49-F238E27FC236}">
              <a16:creationId xmlns:a16="http://schemas.microsoft.com/office/drawing/2014/main" id="{00000000-0008-0000-1500-000005000000}"/>
            </a:ext>
          </a:extLst>
        </xdr:cNvPr>
        <xdr:cNvSpPr/>
      </xdr:nvSpPr>
      <xdr:spPr>
        <a:xfrm>
          <a:off x="891540" y="78028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1</a:t>
          </a:r>
        </a:p>
      </xdr:txBody>
    </xdr:sp>
    <xdr:clientData/>
  </xdr:twoCellAnchor>
  <xdr:twoCellAnchor>
    <xdr:from>
      <xdr:col>1</xdr:col>
      <xdr:colOff>701040</xdr:colOff>
      <xdr:row>60</xdr:row>
      <xdr:rowOff>83820</xdr:rowOff>
    </xdr:from>
    <xdr:to>
      <xdr:col>1</xdr:col>
      <xdr:colOff>3291840</xdr:colOff>
      <xdr:row>64</xdr:row>
      <xdr:rowOff>114300</xdr:rowOff>
    </xdr:to>
    <xdr:sp macro="" textlink="">
      <xdr:nvSpPr>
        <xdr:cNvPr id="6" name="Rounded Rectangle 5">
          <a:extLst>
            <a:ext uri="{FF2B5EF4-FFF2-40B4-BE49-F238E27FC236}">
              <a16:creationId xmlns:a16="http://schemas.microsoft.com/office/drawing/2014/main" id="{00000000-0008-0000-1500-000006000000}"/>
            </a:ext>
          </a:extLst>
        </xdr:cNvPr>
        <xdr:cNvSpPr/>
      </xdr:nvSpPr>
      <xdr:spPr>
        <a:xfrm>
          <a:off x="891540" y="1105662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2</a:t>
          </a:r>
        </a:p>
      </xdr:txBody>
    </xdr:sp>
    <xdr:clientData/>
  </xdr:twoCellAnchor>
  <xdr:twoCellAnchor>
    <xdr:from>
      <xdr:col>1</xdr:col>
      <xdr:colOff>701040</xdr:colOff>
      <xdr:row>77</xdr:row>
      <xdr:rowOff>121920</xdr:rowOff>
    </xdr:from>
    <xdr:to>
      <xdr:col>1</xdr:col>
      <xdr:colOff>3291840</xdr:colOff>
      <xdr:row>81</xdr:row>
      <xdr:rowOff>152400</xdr:rowOff>
    </xdr:to>
    <xdr:sp macro="" textlink="">
      <xdr:nvSpPr>
        <xdr:cNvPr id="7" name="Rounded Rectangle 6">
          <a:extLst>
            <a:ext uri="{FF2B5EF4-FFF2-40B4-BE49-F238E27FC236}">
              <a16:creationId xmlns:a16="http://schemas.microsoft.com/office/drawing/2014/main" id="{00000000-0008-0000-1500-000007000000}"/>
            </a:ext>
          </a:extLst>
        </xdr:cNvPr>
        <xdr:cNvSpPr/>
      </xdr:nvSpPr>
      <xdr:spPr>
        <a:xfrm>
          <a:off x="891540" y="142036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3</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LAN%20WESMAINT%20Port%20Procedure%203%2021%202015%20updated.docx"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53"/>
  <sheetViews>
    <sheetView workbookViewId="0"/>
  </sheetViews>
  <sheetFormatPr defaultColWidth="2.85546875" defaultRowHeight="15" x14ac:dyDescent="0.25"/>
  <cols>
    <col min="1" max="1" width="2.85546875" style="115"/>
    <col min="2" max="2" width="9.7109375" style="115" bestFit="1" customWidth="1"/>
    <col min="3" max="3" width="4.42578125" style="115" bestFit="1" customWidth="1"/>
    <col min="4" max="4" width="49.7109375" style="115" customWidth="1"/>
    <col min="5" max="5" width="20.28515625" style="115" bestFit="1" customWidth="1"/>
    <col min="6" max="16384" width="2.85546875" style="115"/>
  </cols>
  <sheetData>
    <row r="1" spans="1:6" ht="13.9" x14ac:dyDescent="0.25">
      <c r="A1" s="112"/>
      <c r="B1" s="113"/>
      <c r="C1" s="113"/>
      <c r="D1" s="113"/>
      <c r="E1" s="113"/>
      <c r="F1" s="114"/>
    </row>
    <row r="2" spans="1:6" ht="13.9" x14ac:dyDescent="0.25">
      <c r="A2" s="116"/>
      <c r="B2" s="117" t="s">
        <v>0</v>
      </c>
      <c r="C2" s="117" t="s">
        <v>1</v>
      </c>
      <c r="D2" s="117" t="s">
        <v>2</v>
      </c>
      <c r="E2" s="117" t="s">
        <v>3</v>
      </c>
      <c r="F2" s="118"/>
    </row>
    <row r="3" spans="1:6" ht="13.9" x14ac:dyDescent="0.25">
      <c r="A3" s="116"/>
      <c r="B3" s="119">
        <v>43154</v>
      </c>
      <c r="C3" s="120" t="s">
        <v>4</v>
      </c>
      <c r="D3" s="121" t="s">
        <v>5</v>
      </c>
      <c r="E3" s="120" t="s">
        <v>6</v>
      </c>
      <c r="F3" s="118"/>
    </row>
    <row r="4" spans="1:6" ht="13.9" x14ac:dyDescent="0.25">
      <c r="A4" s="116"/>
      <c r="B4" s="119">
        <v>43311</v>
      </c>
      <c r="C4" s="120" t="s">
        <v>7</v>
      </c>
      <c r="D4" s="121" t="s">
        <v>8</v>
      </c>
      <c r="E4" s="120" t="s">
        <v>6</v>
      </c>
      <c r="F4" s="118"/>
    </row>
    <row r="5" spans="1:6" ht="13.9" x14ac:dyDescent="0.25">
      <c r="A5" s="116"/>
      <c r="B5" s="119">
        <v>43311</v>
      </c>
      <c r="C5" s="120" t="s">
        <v>460</v>
      </c>
      <c r="D5" s="121" t="s">
        <v>461</v>
      </c>
      <c r="E5" s="120" t="s">
        <v>6</v>
      </c>
      <c r="F5" s="118"/>
    </row>
    <row r="6" spans="1:6" ht="13.9" x14ac:dyDescent="0.25">
      <c r="A6" s="116"/>
      <c r="B6" s="119">
        <v>43313</v>
      </c>
      <c r="C6" s="120" t="s">
        <v>587</v>
      </c>
      <c r="D6" s="121" t="s">
        <v>588</v>
      </c>
      <c r="E6" s="120" t="s">
        <v>6</v>
      </c>
      <c r="F6" s="118"/>
    </row>
    <row r="7" spans="1:6" ht="13.9" x14ac:dyDescent="0.25">
      <c r="A7" s="116"/>
      <c r="B7" s="119">
        <v>43320</v>
      </c>
      <c r="C7" s="120" t="s">
        <v>594</v>
      </c>
      <c r="D7" s="121" t="s">
        <v>595</v>
      </c>
      <c r="E7" s="120" t="s">
        <v>6</v>
      </c>
      <c r="F7" s="118"/>
    </row>
    <row r="8" spans="1:6" ht="13.9" x14ac:dyDescent="0.25">
      <c r="A8" s="116"/>
      <c r="B8" s="119">
        <v>43321</v>
      </c>
      <c r="C8" s="120" t="s">
        <v>598</v>
      </c>
      <c r="D8" s="121" t="s">
        <v>599</v>
      </c>
      <c r="E8" s="120" t="s">
        <v>6</v>
      </c>
      <c r="F8" s="118"/>
    </row>
    <row r="9" spans="1:6" ht="13.9" x14ac:dyDescent="0.25">
      <c r="A9" s="116"/>
      <c r="B9" s="119">
        <v>43343</v>
      </c>
      <c r="C9" s="120" t="s">
        <v>612</v>
      </c>
      <c r="D9" s="121" t="s">
        <v>613</v>
      </c>
      <c r="E9" s="120" t="s">
        <v>6</v>
      </c>
      <c r="F9" s="118"/>
    </row>
    <row r="10" spans="1:6" ht="13.9" x14ac:dyDescent="0.25">
      <c r="A10" s="116"/>
      <c r="B10" s="119">
        <v>43347</v>
      </c>
      <c r="C10" s="120" t="s">
        <v>639</v>
      </c>
      <c r="D10" s="121" t="s">
        <v>642</v>
      </c>
      <c r="E10" s="120" t="s">
        <v>6</v>
      </c>
      <c r="F10" s="118"/>
    </row>
    <row r="11" spans="1:6" ht="13.9" x14ac:dyDescent="0.25">
      <c r="A11" s="116"/>
      <c r="B11" s="119">
        <v>43357</v>
      </c>
      <c r="C11" s="120" t="s">
        <v>645</v>
      </c>
      <c r="D11" s="121" t="s">
        <v>646</v>
      </c>
      <c r="E11" s="120" t="s">
        <v>6</v>
      </c>
      <c r="F11" s="118"/>
    </row>
    <row r="12" spans="1:6" ht="13.9" x14ac:dyDescent="0.25">
      <c r="A12" s="116"/>
      <c r="B12" s="119">
        <v>43368</v>
      </c>
      <c r="C12" s="120" t="s">
        <v>660</v>
      </c>
      <c r="D12" s="121" t="s">
        <v>661</v>
      </c>
      <c r="E12" s="120" t="s">
        <v>6</v>
      </c>
      <c r="F12" s="118"/>
    </row>
    <row r="13" spans="1:6" ht="13.9" x14ac:dyDescent="0.25">
      <c r="A13" s="116"/>
      <c r="B13" s="119">
        <v>43382</v>
      </c>
      <c r="C13" s="120" t="s">
        <v>664</v>
      </c>
      <c r="D13" s="121" t="s">
        <v>665</v>
      </c>
      <c r="E13" s="120" t="s">
        <v>6</v>
      </c>
      <c r="F13" s="118"/>
    </row>
    <row r="14" spans="1:6" ht="27.6" x14ac:dyDescent="0.25">
      <c r="A14" s="116"/>
      <c r="B14" s="119">
        <v>43411</v>
      </c>
      <c r="C14" s="120" t="s">
        <v>719</v>
      </c>
      <c r="D14" s="147" t="s">
        <v>720</v>
      </c>
      <c r="E14" s="120" t="s">
        <v>6</v>
      </c>
      <c r="F14" s="118"/>
    </row>
    <row r="15" spans="1:6" ht="13.9" x14ac:dyDescent="0.25">
      <c r="A15" s="116"/>
      <c r="B15" s="119">
        <v>43451</v>
      </c>
      <c r="C15" s="120" t="s">
        <v>726</v>
      </c>
      <c r="D15" s="121" t="s">
        <v>756</v>
      </c>
      <c r="E15" s="120" t="s">
        <v>6</v>
      </c>
      <c r="F15" s="118"/>
    </row>
    <row r="16" spans="1:6" ht="13.9" x14ac:dyDescent="0.25">
      <c r="A16" s="116"/>
      <c r="B16" s="119"/>
      <c r="C16" s="120"/>
      <c r="D16" s="121"/>
      <c r="E16" s="120"/>
      <c r="F16" s="118"/>
    </row>
    <row r="17" spans="1:6" ht="13.9" x14ac:dyDescent="0.25">
      <c r="A17" s="116"/>
      <c r="B17" s="119"/>
      <c r="C17" s="120"/>
      <c r="D17" s="121"/>
      <c r="E17" s="120"/>
      <c r="F17" s="118"/>
    </row>
    <row r="18" spans="1:6" ht="13.9" x14ac:dyDescent="0.25">
      <c r="A18" s="116"/>
      <c r="B18" s="119"/>
      <c r="C18" s="120"/>
      <c r="D18" s="121"/>
      <c r="E18" s="120"/>
      <c r="F18" s="118"/>
    </row>
    <row r="19" spans="1:6" ht="13.9" x14ac:dyDescent="0.25">
      <c r="A19" s="116"/>
      <c r="B19" s="119"/>
      <c r="C19" s="120"/>
      <c r="D19" s="121"/>
      <c r="E19" s="120"/>
      <c r="F19" s="118"/>
    </row>
    <row r="20" spans="1:6" ht="13.9" x14ac:dyDescent="0.25">
      <c r="A20" s="116"/>
      <c r="B20" s="119"/>
      <c r="C20" s="120"/>
      <c r="D20" s="121"/>
      <c r="E20" s="120"/>
      <c r="F20" s="118"/>
    </row>
    <row r="21" spans="1:6" ht="13.9" x14ac:dyDescent="0.25">
      <c r="A21" s="116"/>
      <c r="B21" s="119"/>
      <c r="C21" s="120"/>
      <c r="D21" s="121"/>
      <c r="E21" s="120"/>
      <c r="F21" s="118"/>
    </row>
    <row r="22" spans="1:6" ht="13.9" x14ac:dyDescent="0.25">
      <c r="A22" s="116"/>
      <c r="B22" s="119"/>
      <c r="C22" s="120"/>
      <c r="D22" s="121"/>
      <c r="E22" s="120"/>
      <c r="F22" s="118"/>
    </row>
    <row r="23" spans="1:6" ht="13.9" x14ac:dyDescent="0.25">
      <c r="A23" s="116"/>
      <c r="B23" s="119"/>
      <c r="C23" s="120"/>
      <c r="D23" s="121"/>
      <c r="E23" s="120"/>
      <c r="F23" s="118"/>
    </row>
    <row r="24" spans="1:6" ht="13.9" x14ac:dyDescent="0.25">
      <c r="A24" s="116"/>
      <c r="B24" s="119"/>
      <c r="C24" s="120"/>
      <c r="D24" s="121"/>
      <c r="E24" s="120"/>
      <c r="F24" s="118"/>
    </row>
    <row r="25" spans="1:6" ht="13.9" x14ac:dyDescent="0.25">
      <c r="A25" s="116"/>
      <c r="B25" s="119"/>
      <c r="C25" s="120"/>
      <c r="D25" s="121"/>
      <c r="E25" s="120"/>
      <c r="F25" s="118"/>
    </row>
    <row r="26" spans="1:6" ht="13.9" x14ac:dyDescent="0.25">
      <c r="A26" s="116"/>
      <c r="B26" s="119"/>
      <c r="C26" s="120"/>
      <c r="D26" s="121"/>
      <c r="E26" s="120"/>
      <c r="F26" s="118"/>
    </row>
    <row r="27" spans="1:6" ht="13.9" x14ac:dyDescent="0.25">
      <c r="A27" s="116"/>
      <c r="B27" s="119"/>
      <c r="C27" s="120"/>
      <c r="D27" s="121"/>
      <c r="E27" s="120"/>
      <c r="F27" s="118"/>
    </row>
    <row r="28" spans="1:6" ht="13.9" x14ac:dyDescent="0.25">
      <c r="A28" s="116"/>
      <c r="B28" s="119"/>
      <c r="C28" s="120"/>
      <c r="D28" s="121"/>
      <c r="E28" s="120"/>
      <c r="F28" s="118"/>
    </row>
    <row r="29" spans="1:6" ht="13.9" x14ac:dyDescent="0.25">
      <c r="A29" s="116"/>
      <c r="B29" s="119"/>
      <c r="C29" s="120"/>
      <c r="D29" s="121"/>
      <c r="E29" s="120"/>
      <c r="F29" s="118"/>
    </row>
    <row r="30" spans="1:6" ht="13.9" x14ac:dyDescent="0.25">
      <c r="A30" s="116"/>
      <c r="B30" s="119"/>
      <c r="C30" s="120"/>
      <c r="D30" s="121"/>
      <c r="E30" s="120"/>
      <c r="F30" s="118"/>
    </row>
    <row r="31" spans="1:6" ht="13.9" x14ac:dyDescent="0.25">
      <c r="A31" s="116"/>
      <c r="B31" s="119"/>
      <c r="C31" s="120"/>
      <c r="D31" s="121"/>
      <c r="E31" s="120"/>
      <c r="F31" s="118"/>
    </row>
    <row r="32" spans="1:6" ht="13.9" x14ac:dyDescent="0.25">
      <c r="A32" s="116"/>
      <c r="B32" s="119"/>
      <c r="C32" s="120"/>
      <c r="D32" s="121"/>
      <c r="E32" s="120"/>
      <c r="F32" s="118"/>
    </row>
    <row r="33" spans="1:6" ht="13.9" x14ac:dyDescent="0.25">
      <c r="A33" s="116"/>
      <c r="B33" s="119"/>
      <c r="C33" s="120"/>
      <c r="D33" s="121"/>
      <c r="E33" s="120"/>
      <c r="F33" s="118"/>
    </row>
    <row r="34" spans="1:6" ht="13.9" x14ac:dyDescent="0.25">
      <c r="A34" s="116"/>
      <c r="B34" s="119"/>
      <c r="C34" s="120"/>
      <c r="D34" s="121"/>
      <c r="E34" s="120"/>
      <c r="F34" s="118"/>
    </row>
    <row r="35" spans="1:6" ht="13.9" x14ac:dyDescent="0.25">
      <c r="A35" s="116"/>
      <c r="B35" s="119"/>
      <c r="C35" s="120"/>
      <c r="D35" s="121"/>
      <c r="E35" s="120"/>
      <c r="F35" s="118"/>
    </row>
    <row r="36" spans="1:6" ht="13.9" x14ac:dyDescent="0.25">
      <c r="A36" s="116"/>
      <c r="B36" s="119"/>
      <c r="C36" s="120"/>
      <c r="D36" s="121"/>
      <c r="E36" s="120"/>
      <c r="F36" s="118"/>
    </row>
    <row r="37" spans="1:6" ht="13.9" x14ac:dyDescent="0.25">
      <c r="A37" s="116"/>
      <c r="B37" s="119"/>
      <c r="C37" s="120"/>
      <c r="D37" s="121"/>
      <c r="E37" s="120"/>
      <c r="F37" s="118"/>
    </row>
    <row r="38" spans="1:6" ht="13.9" x14ac:dyDescent="0.25">
      <c r="A38" s="116"/>
      <c r="B38" s="119"/>
      <c r="C38" s="120"/>
      <c r="D38" s="121"/>
      <c r="E38" s="120"/>
      <c r="F38" s="118"/>
    </row>
    <row r="39" spans="1:6" ht="13.9" x14ac:dyDescent="0.25">
      <c r="A39" s="116"/>
      <c r="B39" s="119"/>
      <c r="C39" s="120"/>
      <c r="D39" s="121"/>
      <c r="E39" s="120"/>
      <c r="F39" s="118"/>
    </row>
    <row r="40" spans="1:6" ht="13.9" x14ac:dyDescent="0.25">
      <c r="A40" s="116"/>
      <c r="B40" s="119"/>
      <c r="C40" s="120"/>
      <c r="D40" s="121"/>
      <c r="E40" s="120"/>
      <c r="F40" s="118"/>
    </row>
    <row r="41" spans="1:6" ht="13.9" x14ac:dyDescent="0.25">
      <c r="A41" s="116"/>
      <c r="B41" s="119"/>
      <c r="C41" s="120"/>
      <c r="D41" s="121"/>
      <c r="E41" s="120"/>
      <c r="F41" s="118"/>
    </row>
    <row r="42" spans="1:6" ht="13.9" x14ac:dyDescent="0.25">
      <c r="A42" s="116"/>
      <c r="B42" s="119"/>
      <c r="C42" s="120"/>
      <c r="D42" s="121"/>
      <c r="E42" s="120"/>
      <c r="F42" s="118"/>
    </row>
    <row r="43" spans="1:6" x14ac:dyDescent="0.25">
      <c r="A43" s="116"/>
      <c r="B43" s="119"/>
      <c r="C43" s="120"/>
      <c r="D43" s="121"/>
      <c r="E43" s="120"/>
      <c r="F43" s="118"/>
    </row>
    <row r="44" spans="1:6" x14ac:dyDescent="0.25">
      <c r="A44" s="116"/>
      <c r="B44" s="119"/>
      <c r="C44" s="120"/>
      <c r="D44" s="121"/>
      <c r="E44" s="120"/>
      <c r="F44" s="118"/>
    </row>
    <row r="45" spans="1:6" x14ac:dyDescent="0.25">
      <c r="A45" s="116"/>
      <c r="B45" s="119"/>
      <c r="C45" s="120"/>
      <c r="D45" s="121"/>
      <c r="E45" s="120"/>
      <c r="F45" s="118"/>
    </row>
    <row r="46" spans="1:6" x14ac:dyDescent="0.25">
      <c r="A46" s="116"/>
      <c r="B46" s="119"/>
      <c r="C46" s="120"/>
      <c r="D46" s="121"/>
      <c r="E46" s="120"/>
      <c r="F46" s="118"/>
    </row>
    <row r="47" spans="1:6" x14ac:dyDescent="0.25">
      <c r="A47" s="116"/>
      <c r="B47" s="119"/>
      <c r="C47" s="120"/>
      <c r="D47" s="121"/>
      <c r="E47" s="120"/>
      <c r="F47" s="118"/>
    </row>
    <row r="48" spans="1:6" x14ac:dyDescent="0.25">
      <c r="A48" s="116"/>
      <c r="B48" s="119"/>
      <c r="C48" s="120"/>
      <c r="D48" s="121"/>
      <c r="E48" s="120"/>
      <c r="F48" s="118"/>
    </row>
    <row r="49" spans="1:6" x14ac:dyDescent="0.25">
      <c r="A49" s="116"/>
      <c r="B49" s="119"/>
      <c r="C49" s="120"/>
      <c r="D49" s="121"/>
      <c r="E49" s="120"/>
      <c r="F49" s="118"/>
    </row>
    <row r="50" spans="1:6" x14ac:dyDescent="0.25">
      <c r="A50" s="116"/>
      <c r="B50" s="119"/>
      <c r="C50" s="120"/>
      <c r="D50" s="121"/>
      <c r="E50" s="120"/>
      <c r="F50" s="118"/>
    </row>
    <row r="51" spans="1:6" x14ac:dyDescent="0.25">
      <c r="A51" s="116"/>
      <c r="B51" s="119"/>
      <c r="C51" s="120"/>
      <c r="D51" s="121"/>
      <c r="E51" s="120"/>
      <c r="F51" s="118"/>
    </row>
    <row r="52" spans="1:6" x14ac:dyDescent="0.25">
      <c r="A52" s="116"/>
      <c r="B52" s="119"/>
      <c r="C52" s="120"/>
      <c r="D52" s="121"/>
      <c r="E52" s="120"/>
      <c r="F52" s="118"/>
    </row>
    <row r="53" spans="1:6" x14ac:dyDescent="0.25">
      <c r="A53" s="122"/>
      <c r="B53" s="123"/>
      <c r="C53" s="123"/>
      <c r="D53" s="123"/>
      <c r="E53" s="123"/>
      <c r="F53" s="12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K10"/>
  <sheetViews>
    <sheetView workbookViewId="0"/>
  </sheetViews>
  <sheetFormatPr defaultColWidth="8.85546875" defaultRowHeight="15" x14ac:dyDescent="0.25"/>
  <cols>
    <col min="1" max="1" width="2" style="1" bestFit="1" customWidth="1"/>
    <col min="2" max="2" width="21.28515625" style="1" bestFit="1" customWidth="1"/>
    <col min="3" max="3" width="96.7109375" style="1" bestFit="1" customWidth="1"/>
    <col min="4" max="4" width="43.28515625" style="1" bestFit="1" customWidth="1"/>
    <col min="5" max="5" width="20.28515625" style="1" bestFit="1" customWidth="1"/>
    <col min="6" max="6" width="61.28515625" style="1" bestFit="1" customWidth="1"/>
    <col min="7" max="7" width="111.28515625" style="1" bestFit="1" customWidth="1"/>
    <col min="8" max="8" width="1.42578125" style="1" bestFit="1" customWidth="1"/>
    <col min="9" max="9" width="8.85546875" style="1"/>
    <col min="10" max="10" width="10.7109375" style="1" bestFit="1" customWidth="1"/>
    <col min="11" max="11" width="3.28515625" style="1" bestFit="1" customWidth="1"/>
    <col min="12" max="16384" width="8.85546875" style="1"/>
  </cols>
  <sheetData>
    <row r="2" spans="1:11" x14ac:dyDescent="0.25">
      <c r="B2" s="1" t="s">
        <v>9</v>
      </c>
      <c r="C2" s="1" t="s">
        <v>10</v>
      </c>
      <c r="D2" s="1" t="s">
        <v>11</v>
      </c>
      <c r="E2" s="1" t="s">
        <v>12</v>
      </c>
      <c r="F2" s="1" t="s">
        <v>13</v>
      </c>
      <c r="G2" s="1" t="s">
        <v>14</v>
      </c>
      <c r="J2" s="1" t="s">
        <v>15</v>
      </c>
    </row>
    <row r="3" spans="1:11" x14ac:dyDescent="0.25">
      <c r="A3" s="1">
        <v>1</v>
      </c>
      <c r="B3" s="1" t="s">
        <v>16</v>
      </c>
      <c r="C3" s="1" t="s">
        <v>152</v>
      </c>
      <c r="D3" s="1" t="s">
        <v>17</v>
      </c>
      <c r="E3" s="1" t="s">
        <v>729</v>
      </c>
      <c r="F3" s="1" t="s">
        <v>18</v>
      </c>
      <c r="G3" s="1" t="s">
        <v>19</v>
      </c>
      <c r="H3" s="1" t="s">
        <v>20</v>
      </c>
      <c r="J3" s="1" t="s">
        <v>21</v>
      </c>
      <c r="K3" s="1" t="s">
        <v>22</v>
      </c>
    </row>
    <row r="4" spans="1:11" x14ac:dyDescent="0.25">
      <c r="A4" s="1">
        <v>2</v>
      </c>
      <c r="B4" s="1" t="s">
        <v>23</v>
      </c>
      <c r="C4" s="1" t="s">
        <v>152</v>
      </c>
      <c r="D4" s="1" t="s">
        <v>17</v>
      </c>
      <c r="E4" s="1" t="s">
        <v>729</v>
      </c>
      <c r="F4" s="1" t="s">
        <v>18</v>
      </c>
      <c r="G4" s="1" t="s">
        <v>19</v>
      </c>
      <c r="H4" s="1" t="s">
        <v>20</v>
      </c>
      <c r="J4" s="1" t="s">
        <v>24</v>
      </c>
      <c r="K4" s="1" t="s">
        <v>25</v>
      </c>
    </row>
    <row r="5" spans="1:11" x14ac:dyDescent="0.25">
      <c r="A5" s="1">
        <v>3</v>
      </c>
      <c r="B5" s="1" t="s">
        <v>26</v>
      </c>
      <c r="C5" s="1" t="s">
        <v>152</v>
      </c>
      <c r="D5" s="1" t="s">
        <v>17</v>
      </c>
      <c r="E5" s="1" t="s">
        <v>729</v>
      </c>
      <c r="F5" s="1" t="s">
        <v>18</v>
      </c>
      <c r="G5" s="1" t="s">
        <v>19</v>
      </c>
      <c r="H5" s="1" t="s">
        <v>20</v>
      </c>
      <c r="J5" s="1" t="s">
        <v>27</v>
      </c>
      <c r="K5" s="1" t="s">
        <v>28</v>
      </c>
    </row>
    <row r="6" spans="1:11" x14ac:dyDescent="0.25">
      <c r="A6" s="1">
        <v>4</v>
      </c>
      <c r="B6" s="1" t="s">
        <v>29</v>
      </c>
      <c r="C6" s="1" t="s">
        <v>30</v>
      </c>
      <c r="D6" s="1" t="s">
        <v>31</v>
      </c>
      <c r="E6" s="1" t="s">
        <v>32</v>
      </c>
      <c r="F6" s="1" t="s">
        <v>33</v>
      </c>
      <c r="G6" s="1" t="s">
        <v>34</v>
      </c>
      <c r="H6" s="1" t="s">
        <v>20</v>
      </c>
      <c r="J6" s="1" t="s">
        <v>35</v>
      </c>
      <c r="K6" s="1" t="s">
        <v>36</v>
      </c>
    </row>
    <row r="7" spans="1:11" x14ac:dyDescent="0.25">
      <c r="A7" s="1">
        <v>5</v>
      </c>
      <c r="B7" s="1" t="s">
        <v>37</v>
      </c>
      <c r="C7" s="1" t="s">
        <v>30</v>
      </c>
      <c r="D7" s="1" t="s">
        <v>38</v>
      </c>
      <c r="E7" s="1" t="s">
        <v>32</v>
      </c>
      <c r="F7" s="1" t="s">
        <v>32</v>
      </c>
      <c r="G7" s="1" t="s">
        <v>34</v>
      </c>
      <c r="H7" s="1" t="s">
        <v>20</v>
      </c>
      <c r="J7" s="1" t="s">
        <v>39</v>
      </c>
      <c r="K7" s="1" t="s">
        <v>40</v>
      </c>
    </row>
    <row r="8" spans="1:11" x14ac:dyDescent="0.25">
      <c r="A8" s="1">
        <v>6</v>
      </c>
      <c r="B8" s="1" t="s">
        <v>41</v>
      </c>
      <c r="C8" s="1" t="s">
        <v>42</v>
      </c>
      <c r="D8" s="1" t="s">
        <v>43</v>
      </c>
      <c r="E8" s="1" t="s">
        <v>32</v>
      </c>
      <c r="F8" s="1" t="s">
        <v>44</v>
      </c>
      <c r="G8" s="1" t="s">
        <v>32</v>
      </c>
      <c r="J8" s="1" t="s">
        <v>45</v>
      </c>
      <c r="K8" s="1" t="s">
        <v>46</v>
      </c>
    </row>
    <row r="9" spans="1:11" x14ac:dyDescent="0.25">
      <c r="A9" s="1">
        <v>7</v>
      </c>
      <c r="B9" s="1" t="s">
        <v>462</v>
      </c>
      <c r="C9" s="1" t="s">
        <v>586</v>
      </c>
      <c r="D9" s="1" t="s">
        <v>545</v>
      </c>
      <c r="E9" s="1" t="s">
        <v>32</v>
      </c>
      <c r="F9" s="1" t="s">
        <v>32</v>
      </c>
      <c r="G9" s="1" t="s">
        <v>32</v>
      </c>
    </row>
    <row r="10" spans="1:11" x14ac:dyDescent="0.25">
      <c r="A10" s="1">
        <v>8</v>
      </c>
      <c r="B10" s="1" t="s">
        <v>614</v>
      </c>
      <c r="C10" s="1" t="s">
        <v>616</v>
      </c>
      <c r="D10" s="1" t="s">
        <v>17</v>
      </c>
      <c r="E10" s="1" t="s">
        <v>729</v>
      </c>
      <c r="F10" s="1" t="s">
        <v>32</v>
      </c>
      <c r="G10" s="1"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8"/>
  <sheetViews>
    <sheetView tabSelected="1" workbookViewId="0"/>
  </sheetViews>
  <sheetFormatPr defaultColWidth="2.85546875" defaultRowHeight="15" x14ac:dyDescent="0.25"/>
  <cols>
    <col min="1" max="1" width="2.7109375" style="1" customWidth="1"/>
    <col min="2" max="2" width="36.7109375" style="1" bestFit="1" customWidth="1"/>
    <col min="3" max="3" width="2.85546875" style="1"/>
    <col min="4" max="4" width="31.28515625" style="1" customWidth="1"/>
    <col min="5" max="5" width="2.85546875" style="1"/>
    <col min="6" max="6" width="31.28515625" style="1" customWidth="1"/>
    <col min="7" max="7" width="2.85546875" style="1"/>
    <col min="8" max="8" width="60.85546875" style="1" customWidth="1"/>
    <col min="9" max="9" width="2.7109375" style="1" customWidth="1"/>
    <col min="10" max="16384" width="2.85546875" style="1"/>
  </cols>
  <sheetData>
    <row r="1" spans="1:9" ht="13.9" x14ac:dyDescent="0.25">
      <c r="A1" s="2"/>
      <c r="B1" s="3"/>
      <c r="C1" s="4"/>
      <c r="D1" s="5" t="s">
        <v>47</v>
      </c>
      <c r="E1" s="4"/>
      <c r="F1" s="5" t="s">
        <v>48</v>
      </c>
      <c r="G1" s="3"/>
      <c r="H1" s="6" t="s">
        <v>49</v>
      </c>
      <c r="I1" s="7"/>
    </row>
    <row r="2" spans="1:9" ht="13.9" x14ac:dyDescent="0.25">
      <c r="A2" s="8"/>
      <c r="B2" s="9" t="s">
        <v>50</v>
      </c>
      <c r="C2" s="10"/>
      <c r="D2" s="11" t="str">
        <f>D5</f>
        <v>Justin Bivins</v>
      </c>
      <c r="E2" s="10"/>
      <c r="F2" s="11" t="str">
        <f>F6</f>
        <v>Mike Liska</v>
      </c>
      <c r="G2" s="12"/>
      <c r="H2" s="13"/>
      <c r="I2" s="14"/>
    </row>
    <row r="3" spans="1:9" ht="13.9" x14ac:dyDescent="0.25">
      <c r="A3" s="8"/>
      <c r="B3" s="15" t="s">
        <v>35</v>
      </c>
      <c r="C3" s="10"/>
      <c r="D3" s="16" t="s">
        <v>41</v>
      </c>
      <c r="E3" s="10"/>
      <c r="F3" s="11"/>
      <c r="G3" s="12"/>
      <c r="H3" s="13"/>
      <c r="I3" s="14"/>
    </row>
    <row r="4" spans="1:9" ht="13.9" x14ac:dyDescent="0.25">
      <c r="A4" s="8"/>
      <c r="B4" s="15" t="s">
        <v>21</v>
      </c>
      <c r="C4" s="12"/>
      <c r="D4" s="16" t="s">
        <v>773</v>
      </c>
      <c r="E4" s="17"/>
      <c r="F4" s="17"/>
      <c r="G4" s="12"/>
      <c r="H4" s="18" t="s">
        <v>51</v>
      </c>
      <c r="I4" s="14"/>
    </row>
    <row r="5" spans="1:9" ht="13.9" x14ac:dyDescent="0.25">
      <c r="A5" s="8"/>
      <c r="B5" s="15" t="s">
        <v>24</v>
      </c>
      <c r="C5" s="12"/>
      <c r="D5" s="16" t="s">
        <v>774</v>
      </c>
      <c r="E5" s="17"/>
      <c r="F5" s="17"/>
      <c r="G5" s="12"/>
      <c r="H5" s="18" t="s">
        <v>52</v>
      </c>
      <c r="I5" s="14"/>
    </row>
    <row r="6" spans="1:9" ht="13.9" x14ac:dyDescent="0.25">
      <c r="A6" s="8"/>
      <c r="B6" s="15" t="s">
        <v>27</v>
      </c>
      <c r="C6" s="12"/>
      <c r="D6" s="17"/>
      <c r="E6" s="17"/>
      <c r="F6" s="16" t="s">
        <v>781</v>
      </c>
      <c r="G6" s="12"/>
      <c r="H6" s="18" t="s">
        <v>53</v>
      </c>
      <c r="I6" s="14"/>
    </row>
    <row r="7" spans="1:9" ht="13.9" x14ac:dyDescent="0.25">
      <c r="A7" s="8"/>
      <c r="B7" s="15" t="s">
        <v>54</v>
      </c>
      <c r="C7" s="12"/>
      <c r="D7" s="19">
        <v>43510</v>
      </c>
      <c r="E7" s="17"/>
      <c r="F7" s="19">
        <v>43514</v>
      </c>
      <c r="G7" s="12"/>
      <c r="H7" s="18" t="s">
        <v>55</v>
      </c>
      <c r="I7" s="14"/>
    </row>
    <row r="8" spans="1:9" ht="27.6" x14ac:dyDescent="0.25">
      <c r="A8" s="8"/>
      <c r="B8" s="15" t="s">
        <v>11</v>
      </c>
      <c r="C8" s="12"/>
      <c r="D8" s="21" t="s">
        <v>775</v>
      </c>
      <c r="E8" s="17"/>
      <c r="F8" s="16" t="s">
        <v>782</v>
      </c>
      <c r="G8" s="12"/>
      <c r="H8" s="18" t="s">
        <v>43</v>
      </c>
      <c r="I8" s="14"/>
    </row>
    <row r="9" spans="1:9" ht="13.9" hidden="1" x14ac:dyDescent="0.25">
      <c r="A9" s="8"/>
      <c r="B9" s="15" t="s">
        <v>12</v>
      </c>
      <c r="C9" s="12"/>
      <c r="D9" s="21"/>
      <c r="E9" s="17"/>
      <c r="F9" s="16" t="s">
        <v>64</v>
      </c>
      <c r="G9" s="12"/>
      <c r="H9" s="20"/>
      <c r="I9" s="14"/>
    </row>
    <row r="10" spans="1:9" ht="27.6" x14ac:dyDescent="0.25">
      <c r="A10" s="8"/>
      <c r="B10" s="15" t="s">
        <v>13</v>
      </c>
      <c r="C10" s="12"/>
      <c r="D10" s="21" t="s">
        <v>776</v>
      </c>
      <c r="E10" s="17"/>
      <c r="F10" s="16" t="s">
        <v>782</v>
      </c>
      <c r="G10" s="12"/>
      <c r="H10" s="20" t="s">
        <v>44</v>
      </c>
      <c r="I10" s="14"/>
    </row>
    <row r="11" spans="1:9" ht="13.9" hidden="1" x14ac:dyDescent="0.25">
      <c r="A11" s="8"/>
      <c r="B11" s="15" t="s">
        <v>14</v>
      </c>
      <c r="C11" s="12"/>
      <c r="D11" s="21"/>
      <c r="E11" s="17"/>
      <c r="F11" s="22"/>
      <c r="G11" s="12"/>
      <c r="H11" s="20"/>
      <c r="I11" s="14"/>
    </row>
    <row r="12" spans="1:9" x14ac:dyDescent="0.25">
      <c r="A12" s="8"/>
      <c r="B12" s="15" t="s">
        <v>56</v>
      </c>
      <c r="C12" s="12"/>
      <c r="D12" s="21" t="s">
        <v>777</v>
      </c>
      <c r="E12" s="17"/>
      <c r="F12" s="22" t="s">
        <v>782</v>
      </c>
      <c r="G12" s="12"/>
      <c r="H12" s="20" t="s">
        <v>662</v>
      </c>
      <c r="I12" s="14"/>
    </row>
    <row r="13" spans="1:9" x14ac:dyDescent="0.25">
      <c r="A13" s="8"/>
      <c r="B13" s="15" t="s">
        <v>57</v>
      </c>
      <c r="C13" s="12"/>
      <c r="D13" s="21" t="s">
        <v>777</v>
      </c>
      <c r="E13" s="17"/>
      <c r="F13" s="22" t="s">
        <v>782</v>
      </c>
      <c r="G13" s="12"/>
      <c r="H13" s="20" t="s">
        <v>663</v>
      </c>
      <c r="I13" s="14"/>
    </row>
    <row r="14" spans="1:9" ht="30" x14ac:dyDescent="0.25">
      <c r="A14" s="8"/>
      <c r="B14" s="23" t="s">
        <v>58</v>
      </c>
      <c r="C14" s="12"/>
      <c r="D14" s="21" t="s">
        <v>777</v>
      </c>
      <c r="E14" s="17"/>
      <c r="F14" s="22" t="s">
        <v>785</v>
      </c>
      <c r="G14" s="12"/>
      <c r="H14" s="20" t="s">
        <v>59</v>
      </c>
      <c r="I14" s="14"/>
    </row>
    <row r="15" spans="1:9" ht="14.45" hidden="1" x14ac:dyDescent="0.25">
      <c r="A15" s="8"/>
      <c r="B15" s="15" t="s">
        <v>60</v>
      </c>
      <c r="C15" s="12"/>
      <c r="D15" s="21"/>
      <c r="E15" s="17"/>
      <c r="F15" s="22"/>
      <c r="G15" s="12"/>
      <c r="H15" s="153" t="s">
        <v>61</v>
      </c>
      <c r="I15" s="14"/>
    </row>
    <row r="16" spans="1:9" ht="13.9" hidden="1" x14ac:dyDescent="0.25">
      <c r="A16" s="8"/>
      <c r="B16" s="15" t="s">
        <v>62</v>
      </c>
      <c r="C16" s="12"/>
      <c r="D16" s="21"/>
      <c r="E16" s="17"/>
      <c r="F16" s="22"/>
      <c r="G16" s="12"/>
      <c r="H16" s="20"/>
      <c r="I16" s="14"/>
    </row>
    <row r="17" spans="1:9" ht="13.9" hidden="1" x14ac:dyDescent="0.25">
      <c r="A17" s="8"/>
      <c r="B17" s="23" t="s">
        <v>63</v>
      </c>
      <c r="C17" s="12"/>
      <c r="D17" s="17"/>
      <c r="E17" s="17"/>
      <c r="F17" s="22"/>
      <c r="G17" s="12"/>
      <c r="H17" s="20" t="s">
        <v>647</v>
      </c>
      <c r="I17" s="14"/>
    </row>
    <row r="18" spans="1:9" ht="13.9" x14ac:dyDescent="0.25">
      <c r="A18" s="24"/>
      <c r="B18" s="25"/>
      <c r="C18" s="25"/>
      <c r="D18" s="26"/>
      <c r="E18" s="25"/>
      <c r="F18" s="25"/>
      <c r="G18" s="25"/>
      <c r="H18" s="27"/>
      <c r="I18" s="28"/>
    </row>
  </sheetData>
  <conditionalFormatting sqref="F9 D9">
    <cfRule type="expression" dxfId="10" priority="1">
      <formula>LEN($D$9)&gt;8</formula>
    </cfRule>
  </conditionalFormatting>
  <hyperlinks>
    <hyperlink ref="H15" r:id="rId1" xr:uid="{00000000-0004-0000-02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SettingsTab!$B$3:$B$10</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4"/>
  <sheetViews>
    <sheetView workbookViewId="0"/>
  </sheetViews>
  <sheetFormatPr defaultColWidth="2.85546875" defaultRowHeight="15" x14ac:dyDescent="0.25"/>
  <cols>
    <col min="1" max="1" width="2.7109375" style="1" customWidth="1"/>
    <col min="2" max="2" width="39.7109375" style="1" bestFit="1" customWidth="1"/>
    <col min="3" max="3" width="2.85546875" style="1"/>
    <col min="4" max="4" width="25.5703125" style="1" customWidth="1"/>
    <col min="5" max="5" width="2.85546875" style="1"/>
    <col min="6" max="6" width="25.5703125" style="1" customWidth="1"/>
    <col min="7" max="7" width="2.85546875" style="1"/>
    <col min="8" max="8" width="52.7109375" style="1" customWidth="1"/>
    <col min="9" max="9" width="2.7109375" style="1" customWidth="1"/>
    <col min="10" max="16384" width="2.85546875" style="1"/>
  </cols>
  <sheetData>
    <row r="1" spans="1:11" ht="13.9" x14ac:dyDescent="0.25">
      <c r="A1" s="2"/>
      <c r="B1" s="29"/>
      <c r="C1" s="3"/>
      <c r="D1" s="30" t="s">
        <v>47</v>
      </c>
      <c r="E1" s="3"/>
      <c r="F1" s="30" t="s">
        <v>48</v>
      </c>
      <c r="G1" s="3"/>
      <c r="H1" s="6" t="s">
        <v>49</v>
      </c>
      <c r="I1" s="7"/>
    </row>
    <row r="2" spans="1:11" ht="13.9" x14ac:dyDescent="0.25">
      <c r="A2" s="8"/>
      <c r="B2" s="31" t="s">
        <v>65</v>
      </c>
      <c r="C2" s="12"/>
      <c r="D2" s="11" t="str">
        <f>General!D5</f>
        <v>Justin Bivins</v>
      </c>
      <c r="E2" s="12"/>
      <c r="F2" s="11" t="str">
        <f>General!F6</f>
        <v>Mike Liska</v>
      </c>
      <c r="G2" s="12"/>
      <c r="H2" s="4"/>
      <c r="I2" s="14"/>
    </row>
    <row r="3" spans="1:11" x14ac:dyDescent="0.25">
      <c r="A3" s="32"/>
      <c r="B3" s="33" t="s">
        <v>66</v>
      </c>
      <c r="C3" s="34"/>
      <c r="D3" s="35" t="s">
        <v>777</v>
      </c>
      <c r="E3" s="17"/>
      <c r="F3" s="36" t="s">
        <v>782</v>
      </c>
      <c r="G3" s="34"/>
      <c r="H3" s="20" t="s">
        <v>67</v>
      </c>
      <c r="I3" s="37"/>
    </row>
    <row r="4" spans="1:11" x14ac:dyDescent="0.25">
      <c r="A4" s="32"/>
      <c r="B4" s="33" t="s">
        <v>68</v>
      </c>
      <c r="C4" s="34"/>
      <c r="D4" s="35" t="s">
        <v>777</v>
      </c>
      <c r="E4" s="17"/>
      <c r="F4" s="36" t="s">
        <v>782</v>
      </c>
      <c r="G4" s="34"/>
      <c r="H4" s="20" t="s">
        <v>69</v>
      </c>
      <c r="I4" s="37"/>
    </row>
    <row r="5" spans="1:11" ht="13.9" x14ac:dyDescent="0.25">
      <c r="A5" s="32"/>
      <c r="B5" s="41" t="s">
        <v>771</v>
      </c>
      <c r="C5" s="34"/>
      <c r="D5" s="11"/>
      <c r="E5" s="12"/>
      <c r="F5" s="11"/>
      <c r="G5" s="12"/>
      <c r="H5" s="4"/>
      <c r="I5" s="37"/>
    </row>
    <row r="6" spans="1:11" ht="13.9" x14ac:dyDescent="0.25">
      <c r="A6" s="32"/>
      <c r="B6" s="155" t="s">
        <v>772</v>
      </c>
      <c r="C6" s="34"/>
      <c r="D6" s="16" t="s">
        <v>777</v>
      </c>
      <c r="E6" s="17"/>
      <c r="F6" s="38" t="s">
        <v>782</v>
      </c>
      <c r="G6" s="34"/>
      <c r="H6" s="20" t="b">
        <v>0</v>
      </c>
      <c r="I6" s="37"/>
    </row>
    <row r="7" spans="1:11" x14ac:dyDescent="0.25">
      <c r="A7" s="32"/>
      <c r="B7" s="33" t="s">
        <v>70</v>
      </c>
      <c r="C7" s="34"/>
      <c r="D7" s="35" t="s">
        <v>777</v>
      </c>
      <c r="E7" s="17"/>
      <c r="F7" s="36" t="s">
        <v>782</v>
      </c>
      <c r="G7" s="34"/>
      <c r="H7" s="20" t="s">
        <v>71</v>
      </c>
      <c r="I7" s="37"/>
    </row>
    <row r="8" spans="1:11" ht="13.9" x14ac:dyDescent="0.25">
      <c r="A8" s="32"/>
      <c r="B8" s="39" t="s">
        <v>72</v>
      </c>
      <c r="C8" s="34"/>
      <c r="D8" s="16" t="s">
        <v>777</v>
      </c>
      <c r="E8" s="17"/>
      <c r="F8" s="38" t="s">
        <v>782</v>
      </c>
      <c r="G8" s="34"/>
      <c r="H8" s="20" t="s">
        <v>73</v>
      </c>
      <c r="I8" s="37"/>
    </row>
    <row r="9" spans="1:11" ht="13.9" x14ac:dyDescent="0.25">
      <c r="A9" s="8"/>
      <c r="B9" s="40"/>
      <c r="C9" s="12"/>
      <c r="D9" s="5"/>
      <c r="E9" s="12"/>
      <c r="F9" s="5"/>
      <c r="G9" s="12"/>
      <c r="H9" s="6"/>
      <c r="I9" s="14"/>
    </row>
    <row r="10" spans="1:11" ht="13.9" x14ac:dyDescent="0.25">
      <c r="A10" s="8"/>
      <c r="B10" s="31" t="s">
        <v>74</v>
      </c>
      <c r="C10" s="12"/>
      <c r="D10" s="11"/>
      <c r="E10" s="12"/>
      <c r="F10" s="11"/>
      <c r="G10" s="12"/>
      <c r="H10" s="4"/>
      <c r="I10" s="14"/>
    </row>
    <row r="11" spans="1:11" x14ac:dyDescent="0.25">
      <c r="A11" s="32"/>
      <c r="B11" s="33" t="s">
        <v>66</v>
      </c>
      <c r="C11" s="34"/>
      <c r="D11" s="35" t="s">
        <v>777</v>
      </c>
      <c r="E11" s="17"/>
      <c r="F11" s="36" t="s">
        <v>782</v>
      </c>
      <c r="G11" s="34"/>
      <c r="H11" s="20" t="s">
        <v>75</v>
      </c>
      <c r="I11" s="37"/>
    </row>
    <row r="12" spans="1:11" ht="13.9" x14ac:dyDescent="0.25">
      <c r="A12" s="32"/>
      <c r="B12" s="33" t="s">
        <v>68</v>
      </c>
      <c r="C12" s="34"/>
      <c r="D12" s="16" t="s">
        <v>777</v>
      </c>
      <c r="E12" s="17"/>
      <c r="F12" s="38" t="s">
        <v>782</v>
      </c>
      <c r="G12" s="34"/>
      <c r="H12" s="20" t="s">
        <v>76</v>
      </c>
      <c r="I12" s="37"/>
    </row>
    <row r="13" spans="1:11" ht="13.9" x14ac:dyDescent="0.25">
      <c r="A13" s="32"/>
      <c r="B13" s="33" t="s">
        <v>70</v>
      </c>
      <c r="C13" s="34"/>
      <c r="D13" s="16" t="s">
        <v>777</v>
      </c>
      <c r="E13" s="17"/>
      <c r="F13" s="38" t="s">
        <v>782</v>
      </c>
      <c r="G13" s="34"/>
      <c r="H13" s="20" t="s">
        <v>71</v>
      </c>
      <c r="I13" s="37"/>
      <c r="K13" s="1" t="s">
        <v>755</v>
      </c>
    </row>
    <row r="14" spans="1:11" ht="13.9" x14ac:dyDescent="0.25">
      <c r="A14" s="32"/>
      <c r="B14" s="39" t="s">
        <v>72</v>
      </c>
      <c r="C14" s="34"/>
      <c r="D14" s="16" t="s">
        <v>777</v>
      </c>
      <c r="E14" s="17"/>
      <c r="F14" s="38" t="s">
        <v>782</v>
      </c>
      <c r="G14" s="34"/>
      <c r="H14" s="20" t="s">
        <v>77</v>
      </c>
      <c r="I14" s="37"/>
    </row>
    <row r="15" spans="1:11" ht="13.9" x14ac:dyDescent="0.25">
      <c r="A15" s="8"/>
      <c r="B15" s="40"/>
      <c r="C15" s="12"/>
      <c r="D15" s="5"/>
      <c r="E15" s="12"/>
      <c r="F15" s="5"/>
      <c r="G15" s="12"/>
      <c r="H15" s="6"/>
      <c r="I15" s="14"/>
    </row>
    <row r="16" spans="1:11" ht="13.9" x14ac:dyDescent="0.25">
      <c r="A16" s="8"/>
      <c r="B16" s="31" t="s">
        <v>746</v>
      </c>
      <c r="C16" s="12"/>
      <c r="D16" s="11"/>
      <c r="E16" s="12"/>
      <c r="F16" s="11"/>
      <c r="G16" s="12"/>
      <c r="H16" s="4"/>
      <c r="I16" s="14"/>
    </row>
    <row r="17" spans="1:9" ht="13.9" x14ac:dyDescent="0.25">
      <c r="A17" s="32"/>
      <c r="B17" s="41" t="s">
        <v>9</v>
      </c>
      <c r="C17" s="34"/>
      <c r="D17" s="11"/>
      <c r="E17" s="12"/>
      <c r="F17" s="11"/>
      <c r="G17" s="12"/>
      <c r="H17" s="4"/>
      <c r="I17" s="37"/>
    </row>
    <row r="18" spans="1:9" x14ac:dyDescent="0.25">
      <c r="A18" s="32"/>
      <c r="B18" s="39" t="s">
        <v>78</v>
      </c>
      <c r="C18" s="34"/>
      <c r="D18" s="35" t="s">
        <v>777</v>
      </c>
      <c r="E18" s="17"/>
      <c r="F18" s="36" t="s">
        <v>783</v>
      </c>
      <c r="G18" s="34"/>
      <c r="H18" s="20" t="s">
        <v>745</v>
      </c>
      <c r="I18" s="37"/>
    </row>
    <row r="19" spans="1:9" ht="13.9" x14ac:dyDescent="0.25">
      <c r="A19" s="8"/>
      <c r="B19" s="40"/>
      <c r="C19" s="12"/>
      <c r="D19" s="5"/>
      <c r="E19" s="12"/>
      <c r="F19" s="5"/>
      <c r="G19" s="12"/>
      <c r="H19" s="6"/>
      <c r="I19" s="14"/>
    </row>
    <row r="20" spans="1:9" ht="13.9" x14ac:dyDescent="0.25">
      <c r="A20" s="8"/>
      <c r="B20" s="31" t="s">
        <v>743</v>
      </c>
      <c r="C20" s="12"/>
      <c r="D20" s="11"/>
      <c r="E20" s="12"/>
      <c r="F20" s="11"/>
      <c r="G20" s="12"/>
      <c r="H20" s="4"/>
      <c r="I20" s="14"/>
    </row>
    <row r="21" spans="1:9" ht="13.9" x14ac:dyDescent="0.25">
      <c r="A21" s="32"/>
      <c r="B21" s="41" t="s">
        <v>9</v>
      </c>
      <c r="C21" s="34"/>
      <c r="D21" s="11"/>
      <c r="E21" s="12"/>
      <c r="F21" s="11"/>
      <c r="G21" s="12"/>
      <c r="H21" s="4"/>
      <c r="I21" s="37"/>
    </row>
    <row r="22" spans="1:9" x14ac:dyDescent="0.25">
      <c r="A22" s="32"/>
      <c r="B22" s="33" t="s">
        <v>78</v>
      </c>
      <c r="C22" s="34"/>
      <c r="D22" s="35" t="s">
        <v>777</v>
      </c>
      <c r="E22" s="17"/>
      <c r="F22" s="36" t="s">
        <v>782</v>
      </c>
      <c r="G22" s="34"/>
      <c r="H22" s="20" t="s">
        <v>744</v>
      </c>
      <c r="I22" s="37"/>
    </row>
    <row r="23" spans="1:9" x14ac:dyDescent="0.25">
      <c r="A23" s="32"/>
      <c r="B23" s="155" t="s">
        <v>747</v>
      </c>
      <c r="C23" s="34"/>
      <c r="D23" s="35" t="s">
        <v>777</v>
      </c>
      <c r="E23" s="17"/>
      <c r="F23" s="36" t="s">
        <v>782</v>
      </c>
      <c r="G23" s="34"/>
      <c r="H23" s="20" t="s">
        <v>748</v>
      </c>
      <c r="I23" s="37"/>
    </row>
    <row r="24" spans="1:9" x14ac:dyDescent="0.25">
      <c r="A24" s="32"/>
      <c r="B24" s="155" t="s">
        <v>749</v>
      </c>
      <c r="C24" s="34"/>
      <c r="D24" s="35" t="s">
        <v>778</v>
      </c>
      <c r="E24" s="17"/>
      <c r="F24" s="36" t="s">
        <v>784</v>
      </c>
      <c r="G24" s="34"/>
      <c r="H24" s="20" t="s">
        <v>751</v>
      </c>
      <c r="I24" s="37"/>
    </row>
    <row r="25" spans="1:9" x14ac:dyDescent="0.25">
      <c r="A25" s="32"/>
      <c r="B25" s="154" t="s">
        <v>750</v>
      </c>
      <c r="C25" s="34"/>
      <c r="D25" s="35" t="s">
        <v>779</v>
      </c>
      <c r="E25" s="17"/>
      <c r="F25" s="36" t="s">
        <v>782</v>
      </c>
      <c r="G25" s="34"/>
      <c r="H25" s="20" t="s">
        <v>752</v>
      </c>
      <c r="I25" s="37"/>
    </row>
    <row r="26" spans="1:9" ht="13.9" x14ac:dyDescent="0.25">
      <c r="A26" s="8"/>
      <c r="B26" s="40"/>
      <c r="C26" s="12"/>
      <c r="D26" s="5"/>
      <c r="E26" s="12"/>
      <c r="F26" s="5"/>
      <c r="G26" s="12"/>
      <c r="H26" s="6"/>
      <c r="I26" s="14"/>
    </row>
    <row r="27" spans="1:9" ht="13.9" x14ac:dyDescent="0.25">
      <c r="A27" s="8"/>
      <c r="B27" s="31" t="s">
        <v>79</v>
      </c>
      <c r="C27" s="12"/>
      <c r="D27" s="11"/>
      <c r="E27" s="12"/>
      <c r="F27" s="11"/>
      <c r="G27" s="12"/>
      <c r="H27" s="4"/>
      <c r="I27" s="14"/>
    </row>
    <row r="28" spans="1:9" x14ac:dyDescent="0.25">
      <c r="A28" s="32"/>
      <c r="B28" s="33" t="s">
        <v>80</v>
      </c>
      <c r="C28" s="34"/>
      <c r="D28" s="35" t="s">
        <v>777</v>
      </c>
      <c r="E28" s="17"/>
      <c r="F28" s="36" t="s">
        <v>782</v>
      </c>
      <c r="G28" s="34"/>
      <c r="H28" s="20" t="s">
        <v>81</v>
      </c>
      <c r="I28" s="37"/>
    </row>
    <row r="29" spans="1:9" ht="13.9" x14ac:dyDescent="0.25">
      <c r="A29" s="8"/>
      <c r="B29" s="65" t="s">
        <v>721</v>
      </c>
      <c r="C29" s="12"/>
      <c r="D29" s="11"/>
      <c r="E29" s="12"/>
      <c r="F29" s="11"/>
      <c r="G29" s="12"/>
      <c r="H29" s="4"/>
      <c r="I29" s="14"/>
    </row>
    <row r="30" spans="1:9" ht="30" customHeight="1" x14ac:dyDescent="0.25">
      <c r="A30" s="32"/>
      <c r="B30" s="39" t="s">
        <v>722</v>
      </c>
      <c r="C30" s="34"/>
      <c r="D30" s="35" t="s">
        <v>777</v>
      </c>
      <c r="E30" s="17"/>
      <c r="F30" s="36" t="s">
        <v>782</v>
      </c>
      <c r="G30" s="34"/>
      <c r="H30" s="20" t="s">
        <v>723</v>
      </c>
      <c r="I30" s="37"/>
    </row>
    <row r="31" spans="1:9" ht="13.9" x14ac:dyDescent="0.25">
      <c r="A31" s="8"/>
      <c r="B31" s="40"/>
      <c r="C31" s="12"/>
      <c r="D31" s="5"/>
      <c r="E31" s="12"/>
      <c r="F31" s="5"/>
      <c r="G31" s="12"/>
      <c r="H31" s="6"/>
      <c r="I31" s="14"/>
    </row>
    <row r="32" spans="1:9" ht="13.9" x14ac:dyDescent="0.25">
      <c r="A32" s="8"/>
      <c r="B32" s="31" t="s">
        <v>741</v>
      </c>
      <c r="C32" s="12"/>
      <c r="D32" s="11"/>
      <c r="E32" s="12"/>
      <c r="F32" s="11"/>
      <c r="G32" s="12"/>
      <c r="H32" s="4"/>
      <c r="I32" s="14"/>
    </row>
    <row r="33" spans="1:9" x14ac:dyDescent="0.25">
      <c r="A33" s="32"/>
      <c r="B33" s="39" t="s">
        <v>753</v>
      </c>
      <c r="C33" s="34"/>
      <c r="D33" s="156" t="s">
        <v>780</v>
      </c>
      <c r="E33" s="17"/>
      <c r="F33" s="36" t="s">
        <v>782</v>
      </c>
      <c r="G33" s="34"/>
      <c r="H33" s="20" t="s">
        <v>754</v>
      </c>
      <c r="I33" s="37"/>
    </row>
    <row r="34" spans="1:9" ht="13.9" x14ac:dyDescent="0.25">
      <c r="A34" s="24"/>
      <c r="B34" s="42"/>
      <c r="C34" s="25"/>
      <c r="D34" s="43"/>
      <c r="E34" s="25"/>
      <c r="F34" s="43"/>
      <c r="G34" s="25"/>
      <c r="H34" s="44"/>
      <c r="I34" s="28"/>
    </row>
  </sheetData>
  <pageMargins left="0.7" right="0.7" top="0.75" bottom="0.75" header="0.3" footer="0.3"/>
  <pageSetup paperSize="17"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A36"/>
  <sheetViews>
    <sheetView workbookViewId="0"/>
  </sheetViews>
  <sheetFormatPr defaultColWidth="2.85546875" defaultRowHeight="15" x14ac:dyDescent="0.25"/>
  <cols>
    <col min="1" max="1" width="2.7109375" style="1" customWidth="1"/>
    <col min="2" max="2" width="39.7109375" style="1" bestFit="1" customWidth="1"/>
    <col min="3" max="3" width="2.85546875" style="1"/>
    <col min="4" max="4" width="16.42578125" style="1" bestFit="1" customWidth="1"/>
    <col min="5" max="5" width="8.85546875" style="1" bestFit="1" customWidth="1"/>
    <col min="6" max="6" width="2.85546875" style="1"/>
    <col min="7" max="7" width="19.28515625" style="1" customWidth="1"/>
    <col min="8" max="8" width="2.85546875" style="1"/>
    <col min="9" max="9" width="20" style="1" customWidth="1"/>
    <col min="10" max="10" width="2.85546875" style="1"/>
    <col min="11" max="11" width="44.85546875" style="1" customWidth="1"/>
    <col min="12" max="12" width="2.7109375" style="1" customWidth="1"/>
    <col min="13" max="16384" width="2.85546875" style="1"/>
  </cols>
  <sheetData>
    <row r="1" spans="1:27" x14ac:dyDescent="0.25">
      <c r="A1" s="2"/>
      <c r="B1" s="29"/>
      <c r="C1" s="3"/>
      <c r="D1" s="3"/>
      <c r="E1" s="3"/>
      <c r="F1" s="3"/>
      <c r="G1" s="30" t="s">
        <v>47</v>
      </c>
      <c r="H1" s="3"/>
      <c r="I1" s="30" t="s">
        <v>48</v>
      </c>
      <c r="J1" s="3"/>
      <c r="K1" s="6" t="s">
        <v>49</v>
      </c>
      <c r="L1" s="7"/>
      <c r="P1" s="45" t="s">
        <v>93</v>
      </c>
    </row>
    <row r="2" spans="1:27" x14ac:dyDescent="0.25">
      <c r="A2" s="8"/>
      <c r="B2" s="31" t="s">
        <v>82</v>
      </c>
      <c r="C2" s="12"/>
      <c r="D2" s="12"/>
      <c r="E2" s="12"/>
      <c r="F2" s="12"/>
      <c r="G2" s="11" t="str">
        <f>General!D5</f>
        <v>Justin Bivins</v>
      </c>
      <c r="H2" s="12"/>
      <c r="I2" s="11" t="str">
        <f>General!F6</f>
        <v>Mike Liska</v>
      </c>
      <c r="J2" s="12"/>
      <c r="K2" s="4"/>
      <c r="L2" s="14"/>
      <c r="P2" s="45" t="s">
        <v>94</v>
      </c>
    </row>
    <row r="3" spans="1:27" x14ac:dyDescent="0.25">
      <c r="A3" s="32"/>
      <c r="B3" s="33" t="s">
        <v>83</v>
      </c>
      <c r="C3" s="34"/>
      <c r="D3" s="34"/>
      <c r="E3" s="34"/>
      <c r="F3" s="34"/>
      <c r="G3" s="35"/>
      <c r="H3" s="17"/>
      <c r="I3" s="36"/>
      <c r="J3" s="34"/>
      <c r="K3" s="20" t="s">
        <v>84</v>
      </c>
      <c r="L3" s="37"/>
      <c r="AA3" s="45" t="s">
        <v>95</v>
      </c>
    </row>
    <row r="4" spans="1:27" x14ac:dyDescent="0.25">
      <c r="A4" s="32"/>
      <c r="B4" s="39" t="s">
        <v>85</v>
      </c>
      <c r="C4" s="34"/>
      <c r="D4" s="34"/>
      <c r="E4" s="34"/>
      <c r="F4" s="34"/>
      <c r="G4" s="16"/>
      <c r="H4" s="17"/>
      <c r="I4" s="38"/>
      <c r="J4" s="34"/>
      <c r="K4" s="20" t="s">
        <v>86</v>
      </c>
      <c r="L4" s="37"/>
      <c r="AA4" s="45" t="s">
        <v>96</v>
      </c>
    </row>
    <row r="5" spans="1:27" x14ac:dyDescent="0.25">
      <c r="A5" s="8"/>
      <c r="B5" s="40"/>
      <c r="C5" s="12"/>
      <c r="D5" s="12"/>
      <c r="E5" s="12"/>
      <c r="F5" s="12"/>
      <c r="G5" s="46"/>
      <c r="H5" s="17"/>
      <c r="I5" s="17"/>
      <c r="J5" s="12"/>
      <c r="K5" s="4"/>
      <c r="L5" s="14"/>
      <c r="AA5" s="45" t="s">
        <v>97</v>
      </c>
    </row>
    <row r="6" spans="1:27" x14ac:dyDescent="0.25">
      <c r="A6" s="8"/>
      <c r="B6" s="31" t="s">
        <v>87</v>
      </c>
      <c r="C6" s="12"/>
      <c r="D6" s="12"/>
      <c r="E6" s="12"/>
      <c r="F6" s="12"/>
      <c r="G6" s="46"/>
      <c r="H6" s="17"/>
      <c r="I6" s="17"/>
      <c r="J6" s="12"/>
      <c r="K6" s="4"/>
      <c r="L6" s="14"/>
      <c r="AA6" s="45" t="s">
        <v>98</v>
      </c>
    </row>
    <row r="7" spans="1:27" x14ac:dyDescent="0.25">
      <c r="A7" s="8"/>
      <c r="B7" s="33" t="str">
        <f>IF(General!D3="D20M++","TIMESYNCING","Time Sync Method")</f>
        <v>Time Sync Method</v>
      </c>
      <c r="C7" s="12"/>
      <c r="D7" s="12"/>
      <c r="E7" s="12"/>
      <c r="F7" s="12"/>
      <c r="G7" s="35"/>
      <c r="H7" s="17"/>
      <c r="I7" s="36"/>
      <c r="J7" s="34"/>
      <c r="K7" s="20" t="str">
        <f>IF(General!D3="D20M++","DISABLED","No Time Sync")</f>
        <v>No Time Sync</v>
      </c>
      <c r="L7" s="14"/>
      <c r="AA7" s="45" t="s">
        <v>99</v>
      </c>
    </row>
    <row r="8" spans="1:27" x14ac:dyDescent="0.25">
      <c r="A8" s="8"/>
      <c r="B8" s="39" t="str">
        <f>IF(General!D3="D20M++","","Events for Time Sync")</f>
        <v>Events for Time Sync</v>
      </c>
      <c r="C8" s="12"/>
      <c r="D8" s="12"/>
      <c r="E8" s="12"/>
      <c r="F8" s="12"/>
      <c r="G8" s="16"/>
      <c r="H8" s="17"/>
      <c r="I8" s="38"/>
      <c r="J8" s="34"/>
      <c r="K8" s="20" t="str">
        <f>IF(General!D3="D20M++","N/A","Disabled")</f>
        <v>Disabled</v>
      </c>
      <c r="L8" s="14"/>
      <c r="AA8" s="45" t="s">
        <v>100</v>
      </c>
    </row>
    <row r="9" spans="1:27" x14ac:dyDescent="0.25">
      <c r="A9" s="8"/>
      <c r="B9" s="40"/>
      <c r="C9" s="12"/>
      <c r="D9" s="12"/>
      <c r="E9" s="12"/>
      <c r="F9" s="12"/>
      <c r="G9" s="46"/>
      <c r="H9" s="17"/>
      <c r="I9" s="17"/>
      <c r="J9" s="12"/>
      <c r="K9" s="4"/>
      <c r="L9" s="14"/>
      <c r="AA9" s="45" t="s">
        <v>101</v>
      </c>
    </row>
    <row r="10" spans="1:27" x14ac:dyDescent="0.25">
      <c r="A10" s="8"/>
      <c r="B10" s="47" t="s">
        <v>88</v>
      </c>
      <c r="C10" s="12"/>
      <c r="D10" s="12"/>
      <c r="E10" s="12"/>
      <c r="F10" s="12"/>
      <c r="G10" s="46"/>
      <c r="H10" s="17"/>
      <c r="I10" s="17"/>
      <c r="J10" s="12"/>
      <c r="K10" s="4"/>
      <c r="L10" s="14"/>
    </row>
    <row r="11" spans="1:27" x14ac:dyDescent="0.25">
      <c r="A11" s="8"/>
      <c r="B11" s="48" t="s">
        <v>89</v>
      </c>
      <c r="C11" s="12"/>
      <c r="D11" s="12"/>
      <c r="E11" s="12"/>
      <c r="F11" s="12"/>
      <c r="G11" s="35" t="s">
        <v>93</v>
      </c>
      <c r="H11" s="17"/>
      <c r="I11" s="17"/>
      <c r="J11" s="12"/>
      <c r="K11" s="4"/>
      <c r="L11" s="14"/>
    </row>
    <row r="12" spans="1:27" x14ac:dyDescent="0.25">
      <c r="A12" s="8"/>
      <c r="B12" s="48"/>
      <c r="C12" s="12"/>
      <c r="D12" s="49" t="s">
        <v>90</v>
      </c>
      <c r="E12" s="49" t="s">
        <v>91</v>
      </c>
      <c r="F12" s="12"/>
      <c r="G12" s="17"/>
      <c r="H12" s="17"/>
      <c r="I12" s="17"/>
      <c r="J12" s="12"/>
      <c r="K12" s="4"/>
      <c r="L12" s="14"/>
    </row>
    <row r="13" spans="1:27" x14ac:dyDescent="0.25">
      <c r="A13" s="8"/>
      <c r="B13" s="15" t="s">
        <v>92</v>
      </c>
      <c r="C13" s="12"/>
      <c r="D13" s="35"/>
      <c r="E13" s="35"/>
      <c r="F13" s="12"/>
      <c r="G13" s="35"/>
      <c r="H13" s="17"/>
      <c r="I13" s="38"/>
      <c r="J13" s="12"/>
      <c r="K13" s="4"/>
      <c r="L13" s="14"/>
    </row>
    <row r="14" spans="1:27" x14ac:dyDescent="0.25">
      <c r="A14" s="8"/>
      <c r="B14" s="15" t="s">
        <v>92</v>
      </c>
      <c r="C14" s="12"/>
      <c r="D14" s="50"/>
      <c r="E14" s="35"/>
      <c r="F14" s="12"/>
      <c r="G14" s="35"/>
      <c r="H14" s="17"/>
      <c r="I14" s="38"/>
      <c r="J14" s="12"/>
      <c r="K14" s="4"/>
      <c r="L14" s="14"/>
    </row>
    <row r="15" spans="1:27" x14ac:dyDescent="0.25">
      <c r="A15" s="8"/>
      <c r="B15" s="15" t="s">
        <v>92</v>
      </c>
      <c r="C15" s="12"/>
      <c r="D15" s="35"/>
      <c r="E15" s="35"/>
      <c r="F15" s="12"/>
      <c r="G15" s="35"/>
      <c r="H15" s="17"/>
      <c r="I15" s="38"/>
      <c r="J15" s="12"/>
      <c r="K15" s="4"/>
      <c r="L15" s="14"/>
    </row>
    <row r="16" spans="1:27" x14ac:dyDescent="0.25">
      <c r="A16" s="8"/>
      <c r="B16" s="15" t="s">
        <v>92</v>
      </c>
      <c r="C16" s="12"/>
      <c r="D16" s="35"/>
      <c r="E16" s="35"/>
      <c r="F16" s="12"/>
      <c r="G16" s="35"/>
      <c r="H16" s="17"/>
      <c r="I16" s="38"/>
      <c r="J16" s="12"/>
      <c r="K16" s="4"/>
      <c r="L16" s="14"/>
    </row>
    <row r="17" spans="1:12" x14ac:dyDescent="0.25">
      <c r="A17" s="8"/>
      <c r="B17" s="15" t="s">
        <v>92</v>
      </c>
      <c r="C17" s="12"/>
      <c r="D17" s="35"/>
      <c r="E17" s="35"/>
      <c r="F17" s="12"/>
      <c r="G17" s="35"/>
      <c r="H17" s="17"/>
      <c r="I17" s="38"/>
      <c r="J17" s="12"/>
      <c r="K17" s="4"/>
      <c r="L17" s="14"/>
    </row>
    <row r="18" spans="1:12" x14ac:dyDescent="0.25">
      <c r="A18" s="8"/>
      <c r="B18" s="15" t="s">
        <v>92</v>
      </c>
      <c r="C18" s="12"/>
      <c r="D18" s="35"/>
      <c r="E18" s="35"/>
      <c r="F18" s="12"/>
      <c r="G18" s="35"/>
      <c r="H18" s="17"/>
      <c r="I18" s="38"/>
      <c r="J18" s="12"/>
      <c r="K18" s="4"/>
      <c r="L18" s="14"/>
    </row>
    <row r="19" spans="1:12" x14ac:dyDescent="0.25">
      <c r="A19" s="8"/>
      <c r="B19" s="15" t="s">
        <v>92</v>
      </c>
      <c r="C19" s="12"/>
      <c r="D19" s="35"/>
      <c r="E19" s="35"/>
      <c r="F19" s="12"/>
      <c r="G19" s="35"/>
      <c r="H19" s="17"/>
      <c r="I19" s="38"/>
      <c r="J19" s="12"/>
      <c r="K19" s="4"/>
      <c r="L19" s="14"/>
    </row>
    <row r="20" spans="1:12" x14ac:dyDescent="0.25">
      <c r="A20" s="8"/>
      <c r="B20" s="15" t="s">
        <v>92</v>
      </c>
      <c r="C20" s="12"/>
      <c r="D20" s="35"/>
      <c r="E20" s="35"/>
      <c r="F20" s="12"/>
      <c r="G20" s="35"/>
      <c r="H20" s="17"/>
      <c r="I20" s="38"/>
      <c r="J20" s="12"/>
      <c r="K20" s="4"/>
      <c r="L20" s="14"/>
    </row>
    <row r="21" spans="1:12" x14ac:dyDescent="0.25">
      <c r="A21" s="8"/>
      <c r="B21" s="51" t="s">
        <v>92</v>
      </c>
      <c r="C21" s="12"/>
      <c r="D21" s="35"/>
      <c r="E21" s="35"/>
      <c r="F21" s="12"/>
      <c r="G21" s="35"/>
      <c r="H21" s="17"/>
      <c r="I21" s="38"/>
      <c r="J21" s="12"/>
      <c r="K21" s="4"/>
      <c r="L21" s="14"/>
    </row>
    <row r="22" spans="1:12" x14ac:dyDescent="0.25">
      <c r="A22" s="8"/>
      <c r="B22" s="51" t="s">
        <v>92</v>
      </c>
      <c r="C22" s="12"/>
      <c r="D22" s="35"/>
      <c r="E22" s="35"/>
      <c r="F22" s="12"/>
      <c r="G22" s="35"/>
      <c r="H22" s="17"/>
      <c r="I22" s="38"/>
      <c r="J22" s="12"/>
      <c r="K22" s="4"/>
      <c r="L22" s="14"/>
    </row>
    <row r="23" spans="1:12" x14ac:dyDescent="0.25">
      <c r="A23" s="8"/>
      <c r="B23" s="51" t="s">
        <v>92</v>
      </c>
      <c r="C23" s="12"/>
      <c r="D23" s="35"/>
      <c r="E23" s="35"/>
      <c r="F23" s="12"/>
      <c r="G23" s="35"/>
      <c r="H23" s="17"/>
      <c r="I23" s="38"/>
      <c r="J23" s="12"/>
      <c r="K23" s="4"/>
      <c r="L23" s="14"/>
    </row>
    <row r="24" spans="1:12" x14ac:dyDescent="0.25">
      <c r="A24" s="8"/>
      <c r="B24" s="51" t="s">
        <v>92</v>
      </c>
      <c r="C24" s="12"/>
      <c r="D24" s="35"/>
      <c r="E24" s="35"/>
      <c r="F24" s="12"/>
      <c r="G24" s="35"/>
      <c r="H24" s="17"/>
      <c r="I24" s="38"/>
      <c r="J24" s="12"/>
      <c r="K24" s="4"/>
      <c r="L24" s="14"/>
    </row>
    <row r="25" spans="1:12" x14ac:dyDescent="0.25">
      <c r="A25" s="8"/>
      <c r="B25" s="51" t="s">
        <v>92</v>
      </c>
      <c r="C25" s="12"/>
      <c r="D25" s="35"/>
      <c r="E25" s="35"/>
      <c r="F25" s="12"/>
      <c r="G25" s="35"/>
      <c r="H25" s="17"/>
      <c r="I25" s="38"/>
      <c r="J25" s="12"/>
      <c r="K25" s="4"/>
      <c r="L25" s="14"/>
    </row>
    <row r="26" spans="1:12" x14ac:dyDescent="0.25">
      <c r="A26" s="8"/>
      <c r="B26" s="51" t="s">
        <v>92</v>
      </c>
      <c r="C26" s="12"/>
      <c r="D26" s="35"/>
      <c r="E26" s="35"/>
      <c r="F26" s="12"/>
      <c r="G26" s="35"/>
      <c r="H26" s="17"/>
      <c r="I26" s="38"/>
      <c r="J26" s="12"/>
      <c r="K26" s="4"/>
      <c r="L26" s="14"/>
    </row>
    <row r="27" spans="1:12" x14ac:dyDescent="0.25">
      <c r="A27" s="8"/>
      <c r="B27" s="15" t="s">
        <v>92</v>
      </c>
      <c r="C27" s="12"/>
      <c r="D27" s="35"/>
      <c r="E27" s="35"/>
      <c r="F27" s="12"/>
      <c r="G27" s="35"/>
      <c r="H27" s="17"/>
      <c r="I27" s="38"/>
      <c r="J27" s="12"/>
      <c r="K27" s="4"/>
      <c r="L27" s="14"/>
    </row>
    <row r="28" spans="1:12" x14ac:dyDescent="0.25">
      <c r="A28" s="8"/>
      <c r="B28" s="15" t="s">
        <v>92</v>
      </c>
      <c r="C28" s="12"/>
      <c r="D28" s="35"/>
      <c r="E28" s="35"/>
      <c r="F28" s="12"/>
      <c r="G28" s="35"/>
      <c r="H28" s="17"/>
      <c r="I28" s="38"/>
      <c r="J28" s="12"/>
      <c r="K28" s="4"/>
      <c r="L28" s="14"/>
    </row>
    <row r="29" spans="1:12" x14ac:dyDescent="0.25">
      <c r="A29" s="8"/>
      <c r="B29" s="15" t="s">
        <v>92</v>
      </c>
      <c r="C29" s="12"/>
      <c r="D29" s="35"/>
      <c r="E29" s="35"/>
      <c r="F29" s="12"/>
      <c r="G29" s="35"/>
      <c r="H29" s="17"/>
      <c r="I29" s="38"/>
      <c r="J29" s="12"/>
      <c r="K29" s="4"/>
      <c r="L29" s="14"/>
    </row>
    <row r="30" spans="1:12" x14ac:dyDescent="0.25">
      <c r="A30" s="8"/>
      <c r="B30" s="15" t="s">
        <v>92</v>
      </c>
      <c r="C30" s="12"/>
      <c r="D30" s="35"/>
      <c r="E30" s="35"/>
      <c r="F30" s="12"/>
      <c r="G30" s="35"/>
      <c r="H30" s="17"/>
      <c r="I30" s="38"/>
      <c r="J30" s="12"/>
      <c r="K30" s="4"/>
      <c r="L30" s="14"/>
    </row>
    <row r="31" spans="1:12" x14ac:dyDescent="0.25">
      <c r="A31" s="8"/>
      <c r="B31" s="15" t="s">
        <v>92</v>
      </c>
      <c r="C31" s="12"/>
      <c r="D31" s="35"/>
      <c r="E31" s="35"/>
      <c r="F31" s="12"/>
      <c r="G31" s="35"/>
      <c r="H31" s="17"/>
      <c r="I31" s="38"/>
      <c r="J31" s="12"/>
      <c r="K31" s="4"/>
      <c r="L31" s="14"/>
    </row>
    <row r="32" spans="1:12" x14ac:dyDescent="0.25">
      <c r="A32" s="8"/>
      <c r="B32" s="15" t="s">
        <v>92</v>
      </c>
      <c r="C32" s="12"/>
      <c r="D32" s="35"/>
      <c r="E32" s="35"/>
      <c r="F32" s="12"/>
      <c r="G32" s="35"/>
      <c r="H32" s="17"/>
      <c r="I32" s="38"/>
      <c r="J32" s="12"/>
      <c r="K32" s="4"/>
      <c r="L32" s="14"/>
    </row>
    <row r="33" spans="1:12" x14ac:dyDescent="0.25">
      <c r="A33" s="8"/>
      <c r="B33" s="51" t="s">
        <v>92</v>
      </c>
      <c r="C33" s="12"/>
      <c r="D33" s="35"/>
      <c r="E33" s="35"/>
      <c r="F33" s="12"/>
      <c r="G33" s="35"/>
      <c r="H33" s="17"/>
      <c r="I33" s="38"/>
      <c r="J33" s="12"/>
      <c r="K33" s="4"/>
      <c r="L33" s="14"/>
    </row>
    <row r="34" spans="1:12" x14ac:dyDescent="0.25">
      <c r="A34" s="8"/>
      <c r="B34" s="15" t="s">
        <v>92</v>
      </c>
      <c r="C34" s="12"/>
      <c r="D34" s="35"/>
      <c r="E34" s="35"/>
      <c r="F34" s="12"/>
      <c r="G34" s="35"/>
      <c r="H34" s="17"/>
      <c r="I34" s="38"/>
      <c r="J34" s="12"/>
      <c r="K34" s="4"/>
      <c r="L34" s="14"/>
    </row>
    <row r="35" spans="1:12" x14ac:dyDescent="0.25">
      <c r="A35" s="8"/>
      <c r="B35" s="23" t="s">
        <v>92</v>
      </c>
      <c r="C35" s="12"/>
      <c r="D35" s="35"/>
      <c r="E35" s="35"/>
      <c r="F35" s="12"/>
      <c r="G35" s="35"/>
      <c r="H35" s="17"/>
      <c r="I35" s="38"/>
      <c r="J35" s="12"/>
      <c r="K35" s="4"/>
      <c r="L35" s="14"/>
    </row>
    <row r="36" spans="1:12" x14ac:dyDescent="0.25">
      <c r="A36" s="24"/>
      <c r="B36" s="42"/>
      <c r="C36" s="25"/>
      <c r="D36" s="25"/>
      <c r="E36" s="25"/>
      <c r="F36" s="25"/>
      <c r="G36" s="52"/>
      <c r="H36" s="25"/>
      <c r="I36" s="25"/>
      <c r="J36" s="25"/>
      <c r="K36" s="53"/>
      <c r="L36" s="28"/>
    </row>
  </sheetData>
  <conditionalFormatting sqref="G13:G27 I13:I27 D13:E27 D33:E35 I33:I35 G33:G35">
    <cfRule type="expression" dxfId="9" priority="2">
      <formula>LEN($G$11)=2</formula>
    </cfRule>
  </conditionalFormatting>
  <conditionalFormatting sqref="D28:E32 I28:I32 G28:G32">
    <cfRule type="expression" dxfId="8" priority="1">
      <formula>LEN($G$11)=2</formula>
    </cfRule>
  </conditionalFormatting>
  <dataValidations count="2">
    <dataValidation type="list" allowBlank="1" showInputMessage="1" showErrorMessage="1" sqref="G11" xr:uid="{00000000-0002-0000-0400-000000000000}">
      <formula1>$P$1:$P$2</formula1>
    </dataValidation>
    <dataValidation type="list" allowBlank="1" showInputMessage="1" showErrorMessage="1" sqref="D13:D35" xr:uid="{00000000-0002-0000-0400-000001000000}">
      <formula1>$AA$3:$AA$9</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0"/>
  <sheetViews>
    <sheetView workbookViewId="0"/>
  </sheetViews>
  <sheetFormatPr defaultColWidth="8.85546875" defaultRowHeight="15" x14ac:dyDescent="0.25"/>
  <cols>
    <col min="1" max="1" width="2.7109375" style="1" customWidth="1"/>
    <col min="2" max="2" width="36" style="1" bestFit="1" customWidth="1"/>
    <col min="3" max="3" width="8.85546875" style="1"/>
    <col min="4" max="4" width="31.85546875" style="1" bestFit="1" customWidth="1"/>
    <col min="5" max="5" width="8.85546875" style="1"/>
    <col min="6" max="6" width="32.42578125" style="1" customWidth="1"/>
    <col min="7" max="7" width="8.85546875" style="1"/>
    <col min="8" max="8" width="55.7109375" style="1" customWidth="1"/>
    <col min="9" max="9" width="2.7109375" style="1" customWidth="1"/>
    <col min="10" max="16384" width="8.85546875" style="1"/>
  </cols>
  <sheetData>
    <row r="1" spans="1:16" ht="13.9" x14ac:dyDescent="0.25">
      <c r="A1" s="2"/>
      <c r="B1" s="3"/>
      <c r="C1" s="3"/>
      <c r="D1" s="30" t="s">
        <v>47</v>
      </c>
      <c r="E1" s="3"/>
      <c r="F1" s="30" t="s">
        <v>48</v>
      </c>
      <c r="G1" s="3"/>
      <c r="H1" s="6" t="s">
        <v>49</v>
      </c>
      <c r="I1" s="7"/>
      <c r="P1" s="45" t="s">
        <v>93</v>
      </c>
    </row>
    <row r="2" spans="1:16" ht="13.9" x14ac:dyDescent="0.25">
      <c r="A2" s="8"/>
      <c r="B2" s="9" t="s">
        <v>102</v>
      </c>
      <c r="C2" s="12"/>
      <c r="D2" s="11" t="str">
        <f>General!D5</f>
        <v>Justin Bivins</v>
      </c>
      <c r="E2" s="12"/>
      <c r="F2" s="11" t="str">
        <f>General!F6</f>
        <v>Mike Liska</v>
      </c>
      <c r="G2" s="12"/>
      <c r="H2" s="4"/>
      <c r="I2" s="14"/>
      <c r="P2" s="45" t="s">
        <v>94</v>
      </c>
    </row>
    <row r="3" spans="1:16" ht="13.9" x14ac:dyDescent="0.25">
      <c r="A3" s="8"/>
      <c r="B3" s="15" t="s">
        <v>103</v>
      </c>
      <c r="C3" s="34"/>
      <c r="D3" s="35"/>
      <c r="E3" s="17"/>
      <c r="F3" s="38"/>
      <c r="G3" s="12"/>
      <c r="H3" s="20" t="s">
        <v>104</v>
      </c>
      <c r="I3" s="14"/>
    </row>
    <row r="4" spans="1:16" ht="13.9" x14ac:dyDescent="0.25">
      <c r="A4" s="8"/>
      <c r="B4" s="15" t="s">
        <v>105</v>
      </c>
      <c r="C4" s="34"/>
      <c r="D4" s="35"/>
      <c r="E4" s="17"/>
      <c r="F4" s="38"/>
      <c r="G4" s="12"/>
      <c r="H4" s="20" t="s">
        <v>106</v>
      </c>
      <c r="I4" s="14"/>
    </row>
    <row r="5" spans="1:16" ht="14.45" x14ac:dyDescent="0.3">
      <c r="A5" s="8"/>
      <c r="B5" s="151" t="s">
        <v>767</v>
      </c>
      <c r="C5" s="34"/>
      <c r="D5" s="46"/>
      <c r="E5" s="17"/>
      <c r="F5" s="46"/>
      <c r="G5" s="12"/>
      <c r="H5" s="46"/>
      <c r="I5" s="14"/>
    </row>
    <row r="6" spans="1:16" ht="14.45" x14ac:dyDescent="0.3">
      <c r="A6" s="8"/>
      <c r="B6" s="80" t="s">
        <v>770</v>
      </c>
      <c r="C6" s="34"/>
      <c r="D6" s="46"/>
      <c r="E6" s="17"/>
      <c r="F6" s="46"/>
      <c r="G6" s="12"/>
      <c r="H6" s="46"/>
      <c r="I6" s="14"/>
    </row>
    <row r="7" spans="1:16" ht="13.9" x14ac:dyDescent="0.25">
      <c r="A7" s="8"/>
      <c r="B7" s="152" t="s">
        <v>768</v>
      </c>
      <c r="C7" s="34"/>
      <c r="D7" s="35"/>
      <c r="E7" s="17"/>
      <c r="F7" s="38"/>
      <c r="G7" s="12"/>
      <c r="H7" s="20" t="s">
        <v>769</v>
      </c>
      <c r="I7" s="14"/>
    </row>
    <row r="8" spans="1:16" ht="27.6" x14ac:dyDescent="0.25">
      <c r="A8" s="8"/>
      <c r="B8" s="15" t="s">
        <v>107</v>
      </c>
      <c r="C8" s="34"/>
      <c r="D8" s="35"/>
      <c r="E8" s="17"/>
      <c r="F8" s="38"/>
      <c r="G8" s="12"/>
      <c r="H8" s="20" t="s">
        <v>108</v>
      </c>
      <c r="I8" s="14"/>
    </row>
    <row r="9" spans="1:16" ht="14.45" x14ac:dyDescent="0.3">
      <c r="A9" s="8"/>
      <c r="B9" s="151" t="s">
        <v>109</v>
      </c>
      <c r="C9" s="34"/>
      <c r="D9" s="46"/>
      <c r="E9" s="17"/>
      <c r="F9" s="46"/>
      <c r="G9" s="12"/>
      <c r="H9" s="46"/>
      <c r="I9" s="14"/>
    </row>
    <row r="10" spans="1:16" ht="13.9" x14ac:dyDescent="0.25">
      <c r="A10" s="8"/>
      <c r="B10" s="152" t="s">
        <v>110</v>
      </c>
      <c r="C10" s="34"/>
      <c r="D10" s="35"/>
      <c r="E10" s="17"/>
      <c r="F10" s="38"/>
      <c r="G10" s="12"/>
      <c r="H10" s="20" t="b">
        <v>0</v>
      </c>
      <c r="I10" s="14"/>
    </row>
    <row r="11" spans="1:16" ht="13.9" x14ac:dyDescent="0.25">
      <c r="A11" s="8"/>
      <c r="B11" s="23" t="s">
        <v>111</v>
      </c>
      <c r="C11" s="34"/>
      <c r="D11" s="35"/>
      <c r="E11" s="12"/>
      <c r="F11" s="35"/>
      <c r="G11" s="12"/>
      <c r="H11" s="20" t="s">
        <v>112</v>
      </c>
      <c r="I11" s="14"/>
    </row>
    <row r="12" spans="1:16" ht="13.9" x14ac:dyDescent="0.25">
      <c r="A12" s="8"/>
      <c r="B12" s="12"/>
      <c r="C12" s="12"/>
      <c r="D12" s="56"/>
      <c r="E12" s="12"/>
      <c r="F12" s="12"/>
      <c r="G12" s="12"/>
      <c r="H12" s="4"/>
      <c r="I12" s="14"/>
    </row>
    <row r="13" spans="1:16" ht="13.9" x14ac:dyDescent="0.25">
      <c r="A13" s="8"/>
      <c r="B13" s="9" t="s">
        <v>113</v>
      </c>
      <c r="C13" s="34"/>
      <c r="D13" s="46"/>
      <c r="E13" s="17"/>
      <c r="F13" s="46"/>
      <c r="G13" s="12"/>
      <c r="H13" s="46"/>
      <c r="I13" s="14"/>
    </row>
    <row r="14" spans="1:16" ht="13.9" x14ac:dyDescent="0.25">
      <c r="A14" s="8"/>
      <c r="B14" s="15" t="s">
        <v>114</v>
      </c>
      <c r="C14" s="34"/>
      <c r="D14" s="35"/>
      <c r="E14" s="17"/>
      <c r="F14" s="38"/>
      <c r="G14" s="12"/>
      <c r="H14" s="20" t="s">
        <v>115</v>
      </c>
      <c r="I14" s="14"/>
    </row>
    <row r="15" spans="1:16" ht="13.9" x14ac:dyDescent="0.25">
      <c r="A15" s="8"/>
      <c r="B15" s="15" t="s">
        <v>116</v>
      </c>
      <c r="C15" s="34"/>
      <c r="D15" s="35"/>
      <c r="E15" s="17"/>
      <c r="F15" s="38"/>
      <c r="G15" s="12"/>
      <c r="H15" s="20" t="s">
        <v>117</v>
      </c>
      <c r="I15" s="14"/>
    </row>
    <row r="16" spans="1:16" ht="13.9" x14ac:dyDescent="0.25">
      <c r="A16" s="8"/>
      <c r="B16" s="39" t="s">
        <v>725</v>
      </c>
      <c r="C16" s="34"/>
      <c r="D16" s="35"/>
      <c r="E16" s="17"/>
      <c r="F16" s="38"/>
      <c r="G16" s="12"/>
      <c r="H16" s="20" t="s">
        <v>724</v>
      </c>
      <c r="I16" s="14"/>
    </row>
    <row r="17" spans="1:9" ht="13.9" x14ac:dyDescent="0.25">
      <c r="A17" s="8"/>
      <c r="B17" s="12"/>
      <c r="C17" s="12"/>
      <c r="D17" s="56"/>
      <c r="E17" s="12"/>
      <c r="F17" s="12"/>
      <c r="G17" s="12"/>
      <c r="H17" s="4"/>
      <c r="I17" s="14"/>
    </row>
    <row r="18" spans="1:9" ht="13.9" x14ac:dyDescent="0.25">
      <c r="A18" s="8"/>
      <c r="B18" s="9" t="s">
        <v>600</v>
      </c>
      <c r="C18" s="34"/>
      <c r="D18" s="35" t="s">
        <v>93</v>
      </c>
      <c r="E18" s="17"/>
      <c r="F18" s="46"/>
      <c r="G18" s="12"/>
      <c r="H18" s="46"/>
      <c r="I18" s="14"/>
    </row>
    <row r="19" spans="1:9" ht="13.9" x14ac:dyDescent="0.25">
      <c r="A19" s="8"/>
      <c r="B19" s="15" t="s">
        <v>601</v>
      </c>
      <c r="C19" s="34"/>
      <c r="D19" s="35"/>
      <c r="E19" s="17"/>
      <c r="F19" s="38"/>
      <c r="G19" s="12"/>
      <c r="H19" s="20" t="s">
        <v>602</v>
      </c>
      <c r="I19" s="14"/>
    </row>
    <row r="20" spans="1:9" ht="13.9" x14ac:dyDescent="0.25">
      <c r="A20" s="8"/>
      <c r="B20" s="9" t="s">
        <v>604</v>
      </c>
      <c r="C20" s="34"/>
      <c r="D20" s="46"/>
      <c r="E20" s="17"/>
      <c r="F20" s="46"/>
      <c r="G20" s="12"/>
      <c r="H20" s="46"/>
      <c r="I20" s="14"/>
    </row>
    <row r="21" spans="1:9" ht="27.6" x14ac:dyDescent="0.25">
      <c r="A21" s="8"/>
      <c r="B21" s="33" t="s">
        <v>603</v>
      </c>
      <c r="C21" s="34"/>
      <c r="D21" s="35"/>
      <c r="E21" s="17"/>
      <c r="F21" s="38"/>
      <c r="G21" s="12"/>
      <c r="H21" s="20" t="s">
        <v>648</v>
      </c>
      <c r="I21" s="14"/>
    </row>
    <row r="22" spans="1:9" ht="13.9" x14ac:dyDescent="0.25">
      <c r="A22" s="8"/>
      <c r="B22" s="15" t="s">
        <v>606</v>
      </c>
      <c r="C22" s="34"/>
      <c r="D22" s="35"/>
      <c r="E22" s="17"/>
      <c r="F22" s="38"/>
      <c r="G22" s="12"/>
      <c r="H22" s="20">
        <v>16</v>
      </c>
      <c r="I22" s="14"/>
    </row>
    <row r="23" spans="1:9" ht="13.9" x14ac:dyDescent="0.25">
      <c r="A23" s="8"/>
      <c r="B23" s="15" t="s">
        <v>607</v>
      </c>
      <c r="C23" s="34"/>
      <c r="D23" s="35"/>
      <c r="E23" s="17"/>
      <c r="F23" s="38"/>
      <c r="G23" s="12"/>
      <c r="H23" s="20" t="s">
        <v>609</v>
      </c>
      <c r="I23" s="14"/>
    </row>
    <row r="24" spans="1:9" ht="13.9" x14ac:dyDescent="0.25">
      <c r="A24" s="8"/>
      <c r="B24" s="23" t="s">
        <v>608</v>
      </c>
      <c r="C24" s="34"/>
      <c r="D24" s="35"/>
      <c r="E24" s="17"/>
      <c r="F24" s="38"/>
      <c r="G24" s="12"/>
      <c r="H24" s="20" t="s">
        <v>610</v>
      </c>
      <c r="I24" s="14"/>
    </row>
    <row r="25" spans="1:9" ht="13.9" x14ac:dyDescent="0.25">
      <c r="A25" s="8"/>
      <c r="B25" s="9" t="s">
        <v>605</v>
      </c>
      <c r="C25" s="34"/>
      <c r="D25" s="46"/>
      <c r="E25" s="17"/>
      <c r="F25" s="46"/>
      <c r="G25" s="12"/>
      <c r="H25" s="46"/>
      <c r="I25" s="14"/>
    </row>
    <row r="26" spans="1:9" ht="27.6" x14ac:dyDescent="0.25">
      <c r="A26" s="8"/>
      <c r="B26" s="33" t="s">
        <v>603</v>
      </c>
      <c r="C26" s="34"/>
      <c r="D26" s="35"/>
      <c r="E26" s="17"/>
      <c r="F26" s="38"/>
      <c r="G26" s="12"/>
      <c r="H26" s="20" t="s">
        <v>648</v>
      </c>
      <c r="I26" s="14"/>
    </row>
    <row r="27" spans="1:9" ht="13.9" x14ac:dyDescent="0.25">
      <c r="A27" s="8"/>
      <c r="B27" s="15" t="s">
        <v>606</v>
      </c>
      <c r="C27" s="34"/>
      <c r="D27" s="35"/>
      <c r="E27" s="17"/>
      <c r="F27" s="38"/>
      <c r="G27" s="12"/>
      <c r="H27" s="20">
        <v>16</v>
      </c>
      <c r="I27" s="14"/>
    </row>
    <row r="28" spans="1:9" ht="13.9" x14ac:dyDescent="0.25">
      <c r="A28" s="8"/>
      <c r="B28" s="15" t="s">
        <v>611</v>
      </c>
      <c r="C28" s="34"/>
      <c r="D28" s="35"/>
      <c r="E28" s="17"/>
      <c r="F28" s="38"/>
      <c r="G28" s="12"/>
      <c r="H28" s="20">
        <v>-1</v>
      </c>
      <c r="I28" s="14"/>
    </row>
    <row r="29" spans="1:9" ht="13.9" x14ac:dyDescent="0.25">
      <c r="A29" s="8"/>
      <c r="B29" s="23" t="s">
        <v>607</v>
      </c>
      <c r="C29" s="34"/>
      <c r="D29" s="35"/>
      <c r="E29" s="17"/>
      <c r="F29" s="38"/>
      <c r="G29" s="12"/>
      <c r="H29" s="20" t="s">
        <v>609</v>
      </c>
      <c r="I29" s="14"/>
    </row>
    <row r="30" spans="1:9" ht="13.9" x14ac:dyDescent="0.25">
      <c r="A30" s="24"/>
      <c r="B30" s="25"/>
      <c r="C30" s="25"/>
      <c r="D30" s="52"/>
      <c r="E30" s="25"/>
      <c r="F30" s="25"/>
      <c r="G30" s="25"/>
      <c r="H30" s="53"/>
      <c r="I30" s="28"/>
    </row>
  </sheetData>
  <conditionalFormatting sqref="D19 F19 D21:D24 F21:F24 D26:D29 F26:F29">
    <cfRule type="expression" dxfId="7" priority="1">
      <formula>LEN($D$18)=2</formula>
    </cfRule>
  </conditionalFormatting>
  <dataValidations disablePrompts="1" count="1">
    <dataValidation type="list" allowBlank="1" showInputMessage="1" showErrorMessage="1" sqref="D18" xr:uid="{00000000-0002-0000-0500-000000000000}">
      <formula1>$P$1:$P$2</formula1>
    </dataValidation>
  </dataValidations>
  <pageMargins left="0.7" right="0.7" top="0.75" bottom="0.75" header="0.3" footer="0.3"/>
  <pageSetup paperSize="1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6"/>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6.85546875" style="1" bestFit="1" customWidth="1"/>
    <col min="9" max="9" width="2.7109375" style="1" customWidth="1"/>
    <col min="10" max="16384" width="8.85546875" style="1"/>
  </cols>
  <sheetData>
    <row r="1" spans="1:9" ht="13.9" x14ac:dyDescent="0.25">
      <c r="A1" s="3"/>
      <c r="B1" s="3"/>
      <c r="C1" s="3"/>
      <c r="D1" s="30" t="s">
        <v>47</v>
      </c>
      <c r="E1" s="3"/>
      <c r="F1" s="30" t="s">
        <v>48</v>
      </c>
      <c r="G1" s="3"/>
      <c r="H1" s="6" t="s">
        <v>49</v>
      </c>
      <c r="I1" s="7"/>
    </row>
    <row r="2" spans="1:9" ht="13.9" x14ac:dyDescent="0.25">
      <c r="A2" s="12"/>
      <c r="B2" s="9" t="s">
        <v>118</v>
      </c>
      <c r="C2" s="12"/>
      <c r="D2" s="11" t="str">
        <f>General!D5</f>
        <v>Justin Bivins</v>
      </c>
      <c r="E2" s="12"/>
      <c r="F2" s="11" t="str">
        <f>General!F6</f>
        <v>Mike Liska</v>
      </c>
      <c r="G2" s="12"/>
      <c r="H2" s="4"/>
      <c r="I2" s="14"/>
    </row>
    <row r="3" spans="1:9" ht="13.9" x14ac:dyDescent="0.25">
      <c r="A3" s="34"/>
      <c r="B3" s="15" t="s">
        <v>119</v>
      </c>
      <c r="C3" s="34"/>
      <c r="D3" s="38" t="str">
        <f>IF(General!D3="NO","N/A","")</f>
        <v/>
      </c>
      <c r="E3" s="17"/>
      <c r="F3" s="38" t="str">
        <f>IF(General!D3="NO","N/A","")</f>
        <v/>
      </c>
      <c r="G3" s="12"/>
      <c r="H3" s="20" t="s">
        <v>120</v>
      </c>
      <c r="I3" s="14"/>
    </row>
    <row r="4" spans="1:9" ht="13.9" x14ac:dyDescent="0.25">
      <c r="A4" s="34"/>
      <c r="B4" s="15" t="s">
        <v>121</v>
      </c>
      <c r="C4" s="34"/>
      <c r="D4" s="38" t="str">
        <f>IF(General!D3="NO","N/A","")</f>
        <v/>
      </c>
      <c r="E4" s="17"/>
      <c r="F4" s="38" t="str">
        <f>IF(General!D3="NO","N/A","")</f>
        <v/>
      </c>
      <c r="G4" s="12"/>
      <c r="H4" s="20" t="s">
        <v>122</v>
      </c>
      <c r="I4" s="14"/>
    </row>
    <row r="5" spans="1:9" ht="27.6" x14ac:dyDescent="0.25">
      <c r="A5" s="34"/>
      <c r="B5" s="23" t="s">
        <v>123</v>
      </c>
      <c r="C5" s="34"/>
      <c r="D5" s="38" t="str">
        <f>IF(General!D3="NO","N/A","")</f>
        <v/>
      </c>
      <c r="E5" s="17"/>
      <c r="F5" s="38" t="str">
        <f>IF(General!D3="NO","N/A","")</f>
        <v/>
      </c>
      <c r="G5" s="12"/>
      <c r="H5" s="20" t="s">
        <v>124</v>
      </c>
      <c r="I5" s="14"/>
    </row>
    <row r="6" spans="1:9" ht="13.9" x14ac:dyDescent="0.25">
      <c r="A6" s="25"/>
      <c r="B6" s="25"/>
      <c r="C6" s="25"/>
      <c r="D6" s="52"/>
      <c r="E6" s="25"/>
      <c r="F6" s="25"/>
      <c r="G6" s="25"/>
      <c r="H6" s="53"/>
      <c r="I6" s="2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6"/>
  <sheetViews>
    <sheetView zoomScaleNormal="100" workbookViewId="0"/>
  </sheetViews>
  <sheetFormatPr defaultColWidth="8.85546875" defaultRowHeight="15" x14ac:dyDescent="0.25"/>
  <cols>
    <col min="1" max="1" width="2.7109375" style="1" customWidth="1"/>
    <col min="2" max="2" width="31.85546875" style="1" bestFit="1" customWidth="1"/>
    <col min="3" max="3" width="2.85546875" style="1"/>
    <col min="4" max="4" width="27.5703125" style="1" customWidth="1"/>
    <col min="5" max="5" width="2.85546875" style="1"/>
    <col min="6" max="6" width="28.5703125" style="1" customWidth="1"/>
    <col min="7" max="7" width="2.85546875" style="1"/>
    <col min="8" max="8" width="40.7109375" style="1" bestFit="1" customWidth="1"/>
    <col min="9" max="9" width="2.7109375" style="1" customWidth="1"/>
    <col min="10" max="16384" width="8.85546875" style="1"/>
  </cols>
  <sheetData>
    <row r="1" spans="1:9" x14ac:dyDescent="0.25">
      <c r="A1" s="2"/>
      <c r="B1" s="3"/>
      <c r="C1" s="3"/>
      <c r="D1" s="30" t="s">
        <v>47</v>
      </c>
      <c r="E1" s="3"/>
      <c r="F1" s="30" t="s">
        <v>48</v>
      </c>
      <c r="G1" s="3"/>
      <c r="H1" s="6" t="s">
        <v>49</v>
      </c>
      <c r="I1" s="7"/>
    </row>
    <row r="2" spans="1:9" x14ac:dyDescent="0.25">
      <c r="A2" s="8"/>
      <c r="B2" s="9" t="s">
        <v>125</v>
      </c>
      <c r="C2" s="12"/>
      <c r="D2" s="11" t="str">
        <f>General!D5</f>
        <v>Justin Bivins</v>
      </c>
      <c r="E2" s="12"/>
      <c r="F2" s="11" t="str">
        <f>General!F6</f>
        <v>Mike Liska</v>
      </c>
      <c r="G2" s="12"/>
      <c r="H2" s="11"/>
      <c r="I2" s="14"/>
    </row>
    <row r="3" spans="1:9" x14ac:dyDescent="0.25">
      <c r="A3" s="8"/>
      <c r="B3" s="15" t="s">
        <v>126</v>
      </c>
      <c r="C3" s="34"/>
      <c r="D3" s="38" t="str">
        <f>IF(General!D3="NO","N/A","")</f>
        <v/>
      </c>
      <c r="E3" s="17"/>
      <c r="F3" s="38" t="str">
        <f>IF(General!D3="NO","N/A","")</f>
        <v/>
      </c>
      <c r="G3" s="12"/>
      <c r="H3" s="20" t="s">
        <v>127</v>
      </c>
      <c r="I3" s="14"/>
    </row>
    <row r="4" spans="1:9" x14ac:dyDescent="0.25">
      <c r="A4" s="8"/>
      <c r="B4" s="15" t="s">
        <v>128</v>
      </c>
      <c r="C4" s="34"/>
      <c r="D4" s="38" t="str">
        <f>IF(General!D3="NO","N/A","")</f>
        <v/>
      </c>
      <c r="E4" s="17"/>
      <c r="F4" s="38" t="str">
        <f>IF(General!D3="NO","N/A","")</f>
        <v/>
      </c>
      <c r="G4" s="12"/>
      <c r="H4" s="20" t="s">
        <v>129</v>
      </c>
      <c r="I4" s="14"/>
    </row>
    <row r="5" spans="1:9" x14ac:dyDescent="0.25">
      <c r="A5" s="8"/>
      <c r="B5" s="23" t="s">
        <v>130</v>
      </c>
      <c r="C5" s="34"/>
      <c r="D5" s="38" t="str">
        <f>IF(General!D3="NO","N/A","")</f>
        <v/>
      </c>
      <c r="E5" s="17"/>
      <c r="F5" s="38" t="str">
        <f>IF(General!D3="NO","N/A","")</f>
        <v/>
      </c>
      <c r="G5" s="12"/>
      <c r="H5" s="20" t="s">
        <v>131</v>
      </c>
      <c r="I5" s="14"/>
    </row>
    <row r="6" spans="1:9" x14ac:dyDescent="0.25">
      <c r="A6" s="24"/>
      <c r="B6" s="25"/>
      <c r="C6" s="25"/>
      <c r="D6" s="52"/>
      <c r="E6" s="25"/>
      <c r="F6" s="25"/>
      <c r="G6" s="25"/>
      <c r="H6" s="52"/>
      <c r="I6" s="28"/>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10"/>
  <sheetViews>
    <sheetView workbookViewId="0"/>
  </sheetViews>
  <sheetFormatPr defaultColWidth="8.85546875" defaultRowHeight="15" x14ac:dyDescent="0.25"/>
  <cols>
    <col min="1" max="1" width="2.7109375" style="1" customWidth="1"/>
    <col min="2" max="2" width="47.140625" style="1" bestFit="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9" x14ac:dyDescent="0.25">
      <c r="A1" s="2"/>
      <c r="B1" s="3"/>
      <c r="C1" s="3"/>
      <c r="D1" s="30" t="s">
        <v>47</v>
      </c>
      <c r="E1" s="3"/>
      <c r="F1" s="30" t="s">
        <v>48</v>
      </c>
      <c r="G1" s="3"/>
      <c r="H1" s="4"/>
      <c r="I1" s="14"/>
    </row>
    <row r="2" spans="1:9" x14ac:dyDescent="0.25">
      <c r="A2" s="8"/>
      <c r="B2" s="9" t="s">
        <v>132</v>
      </c>
      <c r="C2" s="12"/>
      <c r="D2" s="11" t="str">
        <f>General!D5</f>
        <v>Justin Bivins</v>
      </c>
      <c r="E2" s="12"/>
      <c r="F2" s="11" t="str">
        <f>General!F6</f>
        <v>Mike Liska</v>
      </c>
      <c r="G2" s="12"/>
      <c r="H2" s="4"/>
      <c r="I2" s="14"/>
    </row>
    <row r="3" spans="1:9" x14ac:dyDescent="0.25">
      <c r="A3" s="8"/>
      <c r="B3" s="57" t="s">
        <v>133</v>
      </c>
      <c r="C3" s="12"/>
      <c r="D3" s="35"/>
      <c r="E3" s="17"/>
      <c r="F3" s="38"/>
      <c r="G3" s="12"/>
      <c r="H3" s="20">
        <v>500</v>
      </c>
      <c r="I3" s="14"/>
    </row>
    <row r="4" spans="1:9" x14ac:dyDescent="0.25">
      <c r="A4" s="8"/>
      <c r="B4" s="23" t="s">
        <v>134</v>
      </c>
      <c r="C4" s="12"/>
      <c r="D4" s="35"/>
      <c r="E4" s="17"/>
      <c r="F4" s="38"/>
      <c r="G4" s="12"/>
      <c r="H4" s="20" t="s">
        <v>135</v>
      </c>
      <c r="I4" s="14"/>
    </row>
    <row r="5" spans="1:9" x14ac:dyDescent="0.25">
      <c r="A5" s="8"/>
      <c r="B5" s="12"/>
      <c r="C5" s="12"/>
      <c r="D5" s="56"/>
      <c r="E5" s="12"/>
      <c r="F5" s="12"/>
      <c r="G5" s="12"/>
      <c r="H5" s="4"/>
      <c r="I5" s="14"/>
    </row>
    <row r="6" spans="1:9" x14ac:dyDescent="0.25">
      <c r="A6" s="8"/>
      <c r="B6" s="58" t="s">
        <v>136</v>
      </c>
      <c r="C6" s="12"/>
      <c r="D6" s="4"/>
      <c r="E6" s="17"/>
      <c r="F6" s="4"/>
      <c r="G6" s="12"/>
      <c r="H6" s="4"/>
      <c r="I6" s="14"/>
    </row>
    <row r="7" spans="1:9" x14ac:dyDescent="0.25">
      <c r="A7" s="8"/>
      <c r="B7" s="15" t="s">
        <v>137</v>
      </c>
      <c r="C7" s="12"/>
      <c r="D7" s="59"/>
      <c r="E7" s="17"/>
      <c r="F7" s="38"/>
      <c r="G7" s="12"/>
      <c r="H7" s="20" t="s">
        <v>138</v>
      </c>
      <c r="I7" s="14"/>
    </row>
    <row r="8" spans="1:9" x14ac:dyDescent="0.25">
      <c r="A8" s="8"/>
      <c r="B8" s="15" t="s">
        <v>139</v>
      </c>
      <c r="C8" s="12"/>
      <c r="D8" s="59"/>
      <c r="E8" s="17"/>
      <c r="F8" s="38"/>
      <c r="G8" s="12"/>
      <c r="H8" s="20" t="s">
        <v>140</v>
      </c>
      <c r="I8" s="14"/>
    </row>
    <row r="9" spans="1:9" x14ac:dyDescent="0.25">
      <c r="A9" s="8"/>
      <c r="B9" s="23" t="s">
        <v>141</v>
      </c>
      <c r="C9" s="12"/>
      <c r="D9" s="35"/>
      <c r="E9" s="17"/>
      <c r="F9" s="38"/>
      <c r="G9" s="12"/>
      <c r="H9" s="20" t="s">
        <v>615</v>
      </c>
      <c r="I9" s="14"/>
    </row>
    <row r="10" spans="1:9" x14ac:dyDescent="0.25">
      <c r="A10" s="24"/>
      <c r="B10" s="25"/>
      <c r="C10" s="25"/>
      <c r="D10" s="52"/>
      <c r="E10" s="25"/>
      <c r="F10" s="25"/>
      <c r="G10" s="25"/>
      <c r="H10" s="53"/>
      <c r="I10" s="28"/>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35"/>
  <sheetViews>
    <sheetView workbookViewId="0"/>
  </sheetViews>
  <sheetFormatPr defaultColWidth="8.85546875" defaultRowHeight="15" x14ac:dyDescent="0.25"/>
  <cols>
    <col min="1" max="1" width="2.7109375" style="1" customWidth="1"/>
    <col min="2" max="2" width="25.28515625" style="1" customWidth="1"/>
    <col min="3" max="3" width="2.85546875" style="1"/>
    <col min="4" max="4" width="16.42578125" style="1" bestFit="1" customWidth="1"/>
    <col min="5" max="5" width="12.7109375" style="1" bestFit="1" customWidth="1"/>
    <col min="6" max="6" width="2.85546875" style="1"/>
    <col min="7" max="7" width="10.28515625" style="1" customWidth="1"/>
    <col min="8" max="8" width="2.85546875" style="1"/>
    <col min="9" max="9" width="19.28515625" style="1" customWidth="1"/>
    <col min="10" max="10" width="2.85546875" style="1"/>
    <col min="11" max="11" width="20" style="1" customWidth="1"/>
    <col min="12" max="12" width="2.85546875" style="1"/>
    <col min="13" max="13" width="34.42578125" style="1" customWidth="1"/>
    <col min="14" max="14" width="2.7109375" style="1" customWidth="1"/>
    <col min="15" max="16384" width="8.85546875" style="1"/>
  </cols>
  <sheetData>
    <row r="1" spans="1:16" ht="13.9" x14ac:dyDescent="0.25">
      <c r="A1" s="2"/>
      <c r="B1" s="29"/>
      <c r="C1" s="3"/>
      <c r="D1" s="3"/>
      <c r="E1" s="3"/>
      <c r="F1" s="3"/>
      <c r="G1" s="3"/>
      <c r="H1" s="3"/>
      <c r="I1" s="30" t="s">
        <v>47</v>
      </c>
      <c r="J1" s="3"/>
      <c r="K1" s="30" t="s">
        <v>48</v>
      </c>
      <c r="L1" s="3"/>
      <c r="M1" s="6" t="s">
        <v>49</v>
      </c>
      <c r="N1" s="7"/>
      <c r="P1" s="45" t="s">
        <v>93</v>
      </c>
    </row>
    <row r="2" spans="1:16" ht="13.9" x14ac:dyDescent="0.25">
      <c r="A2" s="8"/>
      <c r="B2" s="31" t="s">
        <v>142</v>
      </c>
      <c r="C2" s="12"/>
      <c r="D2" s="12"/>
      <c r="E2" s="132" t="s">
        <v>656</v>
      </c>
      <c r="F2" s="127"/>
      <c r="G2" s="132" t="s">
        <v>655</v>
      </c>
      <c r="H2" s="12"/>
      <c r="I2" s="11" t="str">
        <f>General!D5</f>
        <v>Justin Bivins</v>
      </c>
      <c r="J2" s="12"/>
      <c r="K2" s="11" t="str">
        <f>General!F6</f>
        <v>Mike Liska</v>
      </c>
      <c r="L2" s="12"/>
      <c r="M2" s="4"/>
      <c r="N2" s="14"/>
      <c r="P2" s="45" t="s">
        <v>94</v>
      </c>
    </row>
    <row r="3" spans="1:16" ht="13.9" x14ac:dyDescent="0.25">
      <c r="A3" s="32"/>
      <c r="B3" s="33" t="s">
        <v>143</v>
      </c>
      <c r="C3" s="34"/>
      <c r="D3" s="34"/>
      <c r="E3" s="132">
        <f>COUNTA(D19:D40)</f>
        <v>0</v>
      </c>
      <c r="F3" s="127"/>
      <c r="G3" s="132">
        <f>IF(E3+3&gt;10,E3+3,10)</f>
        <v>10</v>
      </c>
      <c r="H3" s="34"/>
      <c r="I3" s="35"/>
      <c r="J3" s="17"/>
      <c r="K3" s="36"/>
      <c r="L3" s="34"/>
      <c r="M3" s="20" t="s">
        <v>144</v>
      </c>
      <c r="N3" s="37"/>
    </row>
    <row r="4" spans="1:16" ht="13.9" x14ac:dyDescent="0.25">
      <c r="A4" s="32"/>
      <c r="B4" s="60" t="s">
        <v>89</v>
      </c>
      <c r="C4" s="34"/>
      <c r="D4" s="34"/>
      <c r="E4" s="34"/>
      <c r="F4" s="34"/>
      <c r="G4" s="34"/>
      <c r="H4" s="34"/>
      <c r="I4" s="35" t="s">
        <v>93</v>
      </c>
      <c r="J4" s="17"/>
      <c r="K4" s="17"/>
      <c r="L4" s="34"/>
      <c r="M4" s="20" t="s">
        <v>593</v>
      </c>
      <c r="N4" s="37"/>
    </row>
    <row r="5" spans="1:16" ht="13.9" x14ac:dyDescent="0.25">
      <c r="A5" s="8"/>
      <c r="B5" s="40"/>
      <c r="C5" s="12"/>
      <c r="D5" s="12"/>
      <c r="E5" s="12"/>
      <c r="F5" s="12"/>
      <c r="G5" s="12"/>
      <c r="H5" s="12"/>
      <c r="I5" s="46"/>
      <c r="J5" s="17"/>
      <c r="K5" s="17"/>
      <c r="L5" s="12"/>
      <c r="M5" s="4"/>
      <c r="N5" s="14"/>
    </row>
    <row r="6" spans="1:16" ht="27.6" x14ac:dyDescent="0.25">
      <c r="A6" s="8"/>
      <c r="B6" s="131" t="s">
        <v>658</v>
      </c>
      <c r="C6" s="12"/>
      <c r="D6" s="20" t="s">
        <v>145</v>
      </c>
      <c r="E6" s="20" t="s">
        <v>146</v>
      </c>
      <c r="F6" s="17"/>
      <c r="G6" s="20" t="s">
        <v>147</v>
      </c>
      <c r="H6" s="12"/>
      <c r="I6" s="46"/>
      <c r="J6" s="17"/>
      <c r="K6" s="17"/>
      <c r="L6" s="12"/>
      <c r="M6" s="4"/>
      <c r="N6" s="14"/>
    </row>
    <row r="7" spans="1:16" ht="14.45" customHeight="1" x14ac:dyDescent="0.25">
      <c r="A7" s="8"/>
      <c r="B7" s="35"/>
      <c r="C7" s="12"/>
      <c r="D7" s="35"/>
      <c r="E7" s="35"/>
      <c r="F7" s="12"/>
      <c r="G7" s="49" t="str">
        <f>IF(D7="","",DEC2HEX(D7))</f>
        <v/>
      </c>
      <c r="H7" s="12"/>
      <c r="I7" s="35"/>
      <c r="J7" s="17"/>
      <c r="K7" s="38"/>
      <c r="L7" s="12"/>
      <c r="M7" s="157" t="s">
        <v>148</v>
      </c>
      <c r="N7" s="14"/>
    </row>
    <row r="8" spans="1:16" x14ac:dyDescent="0.25">
      <c r="A8" s="8"/>
      <c r="B8" s="35"/>
      <c r="C8" s="12"/>
      <c r="D8" s="35"/>
      <c r="E8" s="35"/>
      <c r="F8" s="12"/>
      <c r="G8" s="49" t="str">
        <f t="shared" ref="G8:G16" si="0">IF(D8="","",DEC2HEX(D8))</f>
        <v/>
      </c>
      <c r="H8" s="12"/>
      <c r="I8" s="35"/>
      <c r="J8" s="17"/>
      <c r="K8" s="38"/>
      <c r="L8" s="12"/>
      <c r="M8" s="158"/>
      <c r="N8" s="14"/>
    </row>
    <row r="9" spans="1:16" ht="13.9" x14ac:dyDescent="0.25">
      <c r="A9" s="8"/>
      <c r="B9" s="35"/>
      <c r="C9" s="12"/>
      <c r="D9" s="35"/>
      <c r="E9" s="35"/>
      <c r="F9" s="12"/>
      <c r="G9" s="49" t="str">
        <f t="shared" si="0"/>
        <v/>
      </c>
      <c r="H9" s="12"/>
      <c r="I9" s="35"/>
      <c r="J9" s="17"/>
      <c r="K9" s="38"/>
      <c r="L9" s="12"/>
      <c r="M9" s="4"/>
      <c r="N9" s="14"/>
    </row>
    <row r="10" spans="1:16" ht="13.9" x14ac:dyDescent="0.25">
      <c r="A10" s="8"/>
      <c r="B10" s="35"/>
      <c r="C10" s="12"/>
      <c r="D10" s="35"/>
      <c r="E10" s="35"/>
      <c r="F10" s="12"/>
      <c r="G10" s="49" t="str">
        <f t="shared" si="0"/>
        <v/>
      </c>
      <c r="H10" s="12"/>
      <c r="I10" s="35"/>
      <c r="J10" s="17"/>
      <c r="K10" s="38"/>
      <c r="L10" s="12"/>
      <c r="M10" s="61" t="s">
        <v>149</v>
      </c>
      <c r="N10" s="14"/>
    </row>
    <row r="11" spans="1:16" ht="13.9" x14ac:dyDescent="0.25">
      <c r="A11" s="8"/>
      <c r="B11" s="35"/>
      <c r="C11" s="12"/>
      <c r="D11" s="35"/>
      <c r="E11" s="35"/>
      <c r="F11" s="12"/>
      <c r="G11" s="49" t="str">
        <f t="shared" si="0"/>
        <v/>
      </c>
      <c r="H11" s="12"/>
      <c r="I11" s="35"/>
      <c r="J11" s="17"/>
      <c r="K11" s="38"/>
      <c r="L11" s="12"/>
      <c r="M11" s="62"/>
      <c r="N11" s="14"/>
    </row>
    <row r="12" spans="1:16" ht="13.9" x14ac:dyDescent="0.25">
      <c r="A12" s="8"/>
      <c r="B12" s="35"/>
      <c r="C12" s="12"/>
      <c r="D12" s="35"/>
      <c r="E12" s="35"/>
      <c r="F12" s="12"/>
      <c r="G12" s="49" t="str">
        <f t="shared" ref="G12:G13" si="1">IF(D12="","",DEC2HEX(D12))</f>
        <v/>
      </c>
      <c r="H12" s="12"/>
      <c r="I12" s="35"/>
      <c r="J12" s="17"/>
      <c r="K12" s="38"/>
      <c r="L12" s="12"/>
      <c r="M12" s="4"/>
      <c r="N12" s="14"/>
    </row>
    <row r="13" spans="1:16" ht="13.9" x14ac:dyDescent="0.25">
      <c r="A13" s="8"/>
      <c r="B13" s="35"/>
      <c r="C13" s="12"/>
      <c r="D13" s="35"/>
      <c r="E13" s="35"/>
      <c r="F13" s="12"/>
      <c r="G13" s="49" t="str">
        <f t="shared" si="1"/>
        <v/>
      </c>
      <c r="H13" s="12"/>
      <c r="I13" s="35"/>
      <c r="J13" s="17"/>
      <c r="K13" s="38"/>
      <c r="L13" s="12"/>
      <c r="M13" s="4"/>
      <c r="N13" s="14"/>
    </row>
    <row r="14" spans="1:16" ht="13.9" x14ac:dyDescent="0.25">
      <c r="A14" s="8"/>
      <c r="B14" s="35"/>
      <c r="C14" s="12"/>
      <c r="D14" s="35"/>
      <c r="E14" s="35"/>
      <c r="F14" s="12"/>
      <c r="G14" s="49" t="str">
        <f t="shared" si="0"/>
        <v/>
      </c>
      <c r="H14" s="12"/>
      <c r="I14" s="35"/>
      <c r="J14" s="17"/>
      <c r="K14" s="38"/>
      <c r="L14" s="12"/>
      <c r="M14" s="4"/>
      <c r="N14" s="14"/>
    </row>
    <row r="15" spans="1:16" ht="13.9" x14ac:dyDescent="0.25">
      <c r="A15" s="8"/>
      <c r="B15" s="35"/>
      <c r="C15" s="12"/>
      <c r="D15" s="35"/>
      <c r="E15" s="35"/>
      <c r="F15" s="12"/>
      <c r="G15" s="49" t="str">
        <f t="shared" si="0"/>
        <v/>
      </c>
      <c r="H15" s="12"/>
      <c r="I15" s="35"/>
      <c r="J15" s="17"/>
      <c r="K15" s="38"/>
      <c r="L15" s="12"/>
      <c r="M15" s="4"/>
      <c r="N15" s="14"/>
    </row>
    <row r="16" spans="1:16" ht="13.9" x14ac:dyDescent="0.25">
      <c r="A16" s="8"/>
      <c r="B16" s="35"/>
      <c r="C16" s="12"/>
      <c r="D16" s="35"/>
      <c r="E16" s="35"/>
      <c r="F16" s="12"/>
      <c r="G16" s="49" t="str">
        <f t="shared" si="0"/>
        <v/>
      </c>
      <c r="H16" s="12"/>
      <c r="I16" s="35"/>
      <c r="J16" s="17"/>
      <c r="K16" s="38"/>
      <c r="L16" s="8"/>
      <c r="M16" s="4"/>
      <c r="N16" s="14"/>
    </row>
    <row r="17" spans="1:14" ht="13.9" x14ac:dyDescent="0.25">
      <c r="A17" s="8"/>
      <c r="B17" s="40"/>
      <c r="C17" s="12"/>
      <c r="D17" s="12"/>
      <c r="E17" s="12"/>
      <c r="F17" s="12"/>
      <c r="G17" s="12"/>
      <c r="H17" s="12"/>
      <c r="I17" s="46"/>
      <c r="J17" s="17"/>
      <c r="K17" s="17"/>
      <c r="L17" s="12"/>
      <c r="M17" s="4"/>
      <c r="N17" s="14"/>
    </row>
    <row r="18" spans="1:14" ht="27.6" x14ac:dyDescent="0.25">
      <c r="A18" s="8"/>
      <c r="B18" s="131" t="s">
        <v>657</v>
      </c>
      <c r="C18" s="12"/>
      <c r="D18" s="20" t="s">
        <v>145</v>
      </c>
      <c r="E18" s="20" t="s">
        <v>146</v>
      </c>
      <c r="F18" s="17"/>
      <c r="G18" s="20" t="s">
        <v>147</v>
      </c>
      <c r="H18" s="12"/>
      <c r="I18" s="46"/>
      <c r="J18" s="17"/>
      <c r="K18" s="17"/>
      <c r="L18" s="12"/>
      <c r="M18" s="4"/>
      <c r="N18" s="14"/>
    </row>
    <row r="19" spans="1:14" ht="14.45" customHeight="1" x14ac:dyDescent="0.25">
      <c r="A19" s="8"/>
      <c r="B19" s="35"/>
      <c r="C19" s="12"/>
      <c r="D19" s="35"/>
      <c r="E19" s="35"/>
      <c r="F19" s="12"/>
      <c r="G19" s="49" t="str">
        <f>IF(D19="","",DEC2HEX(D19))</f>
        <v/>
      </c>
      <c r="H19" s="12"/>
      <c r="I19" s="35"/>
      <c r="J19" s="17"/>
      <c r="K19" s="38"/>
      <c r="L19" s="12"/>
      <c r="M19" s="157" t="s">
        <v>148</v>
      </c>
      <c r="N19" s="14"/>
    </row>
    <row r="20" spans="1:14" x14ac:dyDescent="0.25">
      <c r="A20" s="8"/>
      <c r="B20" s="35"/>
      <c r="C20" s="12"/>
      <c r="D20" s="35"/>
      <c r="E20" s="35"/>
      <c r="F20" s="12"/>
      <c r="G20" s="49" t="str">
        <f t="shared" ref="G20:G34" si="2">IF(D20="","",DEC2HEX(D20))</f>
        <v/>
      </c>
      <c r="H20" s="12"/>
      <c r="I20" s="35"/>
      <c r="J20" s="17"/>
      <c r="K20" s="38"/>
      <c r="L20" s="12"/>
      <c r="M20" s="158"/>
      <c r="N20" s="14"/>
    </row>
    <row r="21" spans="1:14" ht="13.9" x14ac:dyDescent="0.25">
      <c r="A21" s="8"/>
      <c r="B21" s="35"/>
      <c r="C21" s="12"/>
      <c r="D21" s="35"/>
      <c r="E21" s="35"/>
      <c r="F21" s="12"/>
      <c r="G21" s="49" t="str">
        <f t="shared" si="2"/>
        <v/>
      </c>
      <c r="H21" s="12"/>
      <c r="I21" s="35"/>
      <c r="J21" s="17"/>
      <c r="K21" s="38"/>
      <c r="L21" s="12"/>
      <c r="M21" s="4"/>
      <c r="N21" s="14"/>
    </row>
    <row r="22" spans="1:14" ht="13.9" x14ac:dyDescent="0.25">
      <c r="A22" s="8"/>
      <c r="B22" s="35"/>
      <c r="C22" s="12"/>
      <c r="D22" s="35"/>
      <c r="E22" s="35"/>
      <c r="F22" s="12"/>
      <c r="G22" s="49" t="str">
        <f t="shared" si="2"/>
        <v/>
      </c>
      <c r="H22" s="12"/>
      <c r="I22" s="35"/>
      <c r="J22" s="17"/>
      <c r="K22" s="38"/>
      <c r="L22" s="12"/>
      <c r="M22" s="61" t="s">
        <v>149</v>
      </c>
      <c r="N22" s="14"/>
    </row>
    <row r="23" spans="1:14" ht="13.9" x14ac:dyDescent="0.25">
      <c r="A23" s="8"/>
      <c r="B23" s="35"/>
      <c r="C23" s="12"/>
      <c r="D23" s="35"/>
      <c r="E23" s="35"/>
      <c r="F23" s="12"/>
      <c r="G23" s="49" t="str">
        <f t="shared" si="2"/>
        <v/>
      </c>
      <c r="H23" s="12"/>
      <c r="I23" s="35"/>
      <c r="J23" s="17"/>
      <c r="K23" s="38"/>
      <c r="L23" s="12"/>
      <c r="M23" s="62"/>
      <c r="N23" s="14"/>
    </row>
    <row r="24" spans="1:14" ht="13.9" x14ac:dyDescent="0.25">
      <c r="A24" s="8"/>
      <c r="B24" s="35"/>
      <c r="C24" s="12"/>
      <c r="D24" s="35"/>
      <c r="E24" s="35"/>
      <c r="F24" s="12"/>
      <c r="G24" s="49" t="str">
        <f t="shared" si="2"/>
        <v/>
      </c>
      <c r="H24" s="12"/>
      <c r="I24" s="35"/>
      <c r="J24" s="17"/>
      <c r="K24" s="38"/>
      <c r="L24" s="12"/>
      <c r="M24" s="4"/>
      <c r="N24" s="14"/>
    </row>
    <row r="25" spans="1:14" ht="13.9" x14ac:dyDescent="0.25">
      <c r="A25" s="8"/>
      <c r="B25" s="35"/>
      <c r="C25" s="12"/>
      <c r="D25" s="35"/>
      <c r="E25" s="35"/>
      <c r="F25" s="12"/>
      <c r="G25" s="49" t="str">
        <f t="shared" ref="G25" si="3">IF(D25="","",DEC2HEX(D25))</f>
        <v/>
      </c>
      <c r="H25" s="12"/>
      <c r="I25" s="35"/>
      <c r="J25" s="17"/>
      <c r="K25" s="38"/>
      <c r="L25" s="12"/>
      <c r="M25" s="4"/>
      <c r="N25" s="14"/>
    </row>
    <row r="26" spans="1:14" ht="13.9" x14ac:dyDescent="0.25">
      <c r="A26" s="8"/>
      <c r="B26" s="35"/>
      <c r="C26" s="12"/>
      <c r="D26" s="35"/>
      <c r="E26" s="35"/>
      <c r="F26" s="12"/>
      <c r="G26" s="49" t="str">
        <f t="shared" si="2"/>
        <v/>
      </c>
      <c r="H26" s="12"/>
      <c r="I26" s="35"/>
      <c r="J26" s="17"/>
      <c r="K26" s="38"/>
      <c r="L26" s="12"/>
      <c r="M26" s="4"/>
      <c r="N26" s="14"/>
    </row>
    <row r="27" spans="1:14" ht="13.9" x14ac:dyDescent="0.25">
      <c r="A27" s="8"/>
      <c r="B27" s="35"/>
      <c r="C27" s="12"/>
      <c r="D27" s="35"/>
      <c r="E27" s="35"/>
      <c r="F27" s="12"/>
      <c r="G27" s="49" t="str">
        <f t="shared" si="2"/>
        <v/>
      </c>
      <c r="H27" s="12"/>
      <c r="I27" s="35"/>
      <c r="J27" s="17"/>
      <c r="K27" s="38"/>
      <c r="L27" s="12"/>
      <c r="M27" s="4"/>
      <c r="N27" s="14"/>
    </row>
    <row r="28" spans="1:14" ht="13.9" x14ac:dyDescent="0.25">
      <c r="A28" s="8"/>
      <c r="B28" s="35"/>
      <c r="C28" s="12"/>
      <c r="D28" s="35"/>
      <c r="E28" s="35"/>
      <c r="F28" s="12"/>
      <c r="G28" s="49" t="str">
        <f t="shared" ref="G28:G31" si="4">IF(D28="","",DEC2HEX(D28))</f>
        <v/>
      </c>
      <c r="H28" s="12"/>
      <c r="I28" s="35"/>
      <c r="J28" s="17"/>
      <c r="K28" s="38"/>
      <c r="L28" s="12"/>
      <c r="M28" s="4"/>
      <c r="N28" s="14"/>
    </row>
    <row r="29" spans="1:14" ht="13.9" x14ac:dyDescent="0.25">
      <c r="A29" s="8"/>
      <c r="B29" s="35"/>
      <c r="C29" s="12"/>
      <c r="D29" s="35"/>
      <c r="E29" s="35"/>
      <c r="F29" s="12"/>
      <c r="G29" s="49" t="str">
        <f t="shared" si="4"/>
        <v/>
      </c>
      <c r="H29" s="12"/>
      <c r="I29" s="35"/>
      <c r="J29" s="17"/>
      <c r="K29" s="38"/>
      <c r="L29" s="12"/>
      <c r="M29" s="4"/>
      <c r="N29" s="14"/>
    </row>
    <row r="30" spans="1:14" ht="13.9" x14ac:dyDescent="0.25">
      <c r="A30" s="8"/>
      <c r="B30" s="35"/>
      <c r="C30" s="12"/>
      <c r="D30" s="35"/>
      <c r="E30" s="35"/>
      <c r="F30" s="12"/>
      <c r="G30" s="49" t="str">
        <f t="shared" si="4"/>
        <v/>
      </c>
      <c r="H30" s="12"/>
      <c r="I30" s="35"/>
      <c r="J30" s="17"/>
      <c r="K30" s="38"/>
      <c r="L30" s="12"/>
      <c r="M30" s="4"/>
      <c r="N30" s="14"/>
    </row>
    <row r="31" spans="1:14" ht="13.9" x14ac:dyDescent="0.25">
      <c r="A31" s="8"/>
      <c r="B31" s="35"/>
      <c r="C31" s="12"/>
      <c r="D31" s="35"/>
      <c r="E31" s="35"/>
      <c r="F31" s="12"/>
      <c r="G31" s="49" t="str">
        <f t="shared" si="4"/>
        <v/>
      </c>
      <c r="H31" s="12"/>
      <c r="I31" s="35"/>
      <c r="J31" s="17"/>
      <c r="K31" s="38"/>
      <c r="L31" s="12"/>
      <c r="M31" s="4"/>
      <c r="N31" s="14"/>
    </row>
    <row r="32" spans="1:14" ht="13.9" x14ac:dyDescent="0.25">
      <c r="A32" s="8"/>
      <c r="B32" s="35"/>
      <c r="C32" s="12"/>
      <c r="D32" s="35"/>
      <c r="E32" s="35"/>
      <c r="F32" s="12"/>
      <c r="G32" s="49" t="str">
        <f t="shared" si="2"/>
        <v/>
      </c>
      <c r="H32" s="12"/>
      <c r="I32" s="35"/>
      <c r="J32" s="17"/>
      <c r="K32" s="38"/>
      <c r="L32" s="12"/>
      <c r="M32" s="4"/>
      <c r="N32" s="14"/>
    </row>
    <row r="33" spans="1:14" ht="13.9" x14ac:dyDescent="0.25">
      <c r="A33" s="8"/>
      <c r="B33" s="35"/>
      <c r="C33" s="12"/>
      <c r="D33" s="35"/>
      <c r="E33" s="35"/>
      <c r="F33" s="12"/>
      <c r="G33" s="49" t="str">
        <f t="shared" si="2"/>
        <v/>
      </c>
      <c r="H33" s="12"/>
      <c r="I33" s="35"/>
      <c r="J33" s="17"/>
      <c r="K33" s="38"/>
      <c r="L33" s="12"/>
      <c r="M33" s="4"/>
      <c r="N33" s="14"/>
    </row>
    <row r="34" spans="1:14" ht="13.9" x14ac:dyDescent="0.25">
      <c r="A34" s="8"/>
      <c r="B34" s="35"/>
      <c r="C34" s="12"/>
      <c r="D34" s="35"/>
      <c r="E34" s="35"/>
      <c r="F34" s="12"/>
      <c r="G34" s="49" t="str">
        <f t="shared" si="2"/>
        <v/>
      </c>
      <c r="H34" s="12"/>
      <c r="I34" s="35"/>
      <c r="J34" s="17"/>
      <c r="K34" s="38"/>
      <c r="L34" s="12"/>
      <c r="M34" s="4"/>
      <c r="N34" s="14"/>
    </row>
    <row r="35" spans="1:14" ht="13.9" x14ac:dyDescent="0.25">
      <c r="A35" s="24"/>
      <c r="B35" s="42"/>
      <c r="C35" s="25"/>
      <c r="D35" s="25"/>
      <c r="E35" s="25"/>
      <c r="F35" s="25"/>
      <c r="G35" s="25"/>
      <c r="H35" s="25"/>
      <c r="I35" s="52"/>
      <c r="J35" s="25"/>
      <c r="K35" s="25"/>
      <c r="L35" s="25"/>
      <c r="M35" s="53"/>
      <c r="N35" s="28"/>
    </row>
  </sheetData>
  <mergeCells count="2">
    <mergeCell ref="M7:M8"/>
    <mergeCell ref="M19:M20"/>
  </mergeCells>
  <conditionalFormatting sqref="D7:E16 I7:I16 K7:K16 D19:E34 I19:I34 K19:K34 B7:B16 B19:B34">
    <cfRule type="expression" dxfId="6" priority="1">
      <formula>LEN($I$4)=2</formula>
    </cfRule>
  </conditionalFormatting>
  <dataValidations count="1">
    <dataValidation type="list" allowBlank="1" showInputMessage="1" showErrorMessage="1" sqref="I4" xr:uid="{00000000-0002-0000-0900-000000000000}">
      <formula1>$P$1:$P$2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11"/>
  <sheetViews>
    <sheetView workbookViewId="0"/>
  </sheetViews>
  <sheetFormatPr defaultColWidth="8.85546875" defaultRowHeight="15" x14ac:dyDescent="0.25"/>
  <cols>
    <col min="1" max="1" width="2.7109375" style="1" customWidth="1"/>
    <col min="2" max="2" width="33.42578125" style="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14" x14ac:dyDescent="0.25">
      <c r="A1" s="2"/>
      <c r="B1" s="3"/>
      <c r="C1" s="3"/>
      <c r="D1" s="30" t="s">
        <v>47</v>
      </c>
      <c r="E1" s="3"/>
      <c r="F1" s="30" t="s">
        <v>48</v>
      </c>
      <c r="G1" s="3"/>
      <c r="H1" s="4"/>
      <c r="I1" s="14"/>
      <c r="N1" s="45" t="s">
        <v>589</v>
      </c>
    </row>
    <row r="2" spans="1:14" x14ac:dyDescent="0.25">
      <c r="A2" s="8"/>
      <c r="B2" s="9" t="s">
        <v>654</v>
      </c>
      <c r="C2" s="12"/>
      <c r="D2" s="11" t="str">
        <f>General!D5</f>
        <v>Justin Bivins</v>
      </c>
      <c r="E2" s="12"/>
      <c r="F2" s="11" t="str">
        <f>General!F6</f>
        <v>Mike Liska</v>
      </c>
      <c r="G2" s="12"/>
      <c r="H2" s="4"/>
      <c r="I2" s="14"/>
      <c r="N2" s="45" t="s">
        <v>151</v>
      </c>
    </row>
    <row r="3" spans="1:14" x14ac:dyDescent="0.25">
      <c r="A3" s="8"/>
      <c r="B3" s="23" t="s">
        <v>728</v>
      </c>
      <c r="C3" s="12"/>
      <c r="D3" s="35"/>
      <c r="E3" s="17"/>
      <c r="F3" s="12"/>
      <c r="G3" s="12"/>
      <c r="H3" s="20" t="s">
        <v>590</v>
      </c>
      <c r="I3" s="14"/>
      <c r="N3" s="45" t="s">
        <v>740</v>
      </c>
    </row>
    <row r="4" spans="1:14" x14ac:dyDescent="0.25">
      <c r="A4" s="8"/>
      <c r="B4" s="12"/>
      <c r="C4" s="12"/>
      <c r="D4" s="56"/>
      <c r="E4" s="12"/>
      <c r="F4" s="12"/>
      <c r="G4" s="12"/>
      <c r="H4" s="4"/>
      <c r="I4" s="14"/>
    </row>
    <row r="5" spans="1:14" x14ac:dyDescent="0.25">
      <c r="A5" s="8"/>
      <c r="B5" s="9" t="s">
        <v>734</v>
      </c>
      <c r="C5" s="12"/>
      <c r="D5" s="129"/>
      <c r="E5" s="12"/>
      <c r="F5" s="129"/>
      <c r="G5" s="12"/>
      <c r="H5" s="4"/>
      <c r="I5" s="14"/>
    </row>
    <row r="6" spans="1:14" x14ac:dyDescent="0.25">
      <c r="A6" s="8"/>
      <c r="B6" s="15" t="s">
        <v>735</v>
      </c>
      <c r="C6" s="12"/>
      <c r="D6" s="35"/>
      <c r="E6" s="17"/>
      <c r="F6" s="38"/>
      <c r="G6" s="12"/>
      <c r="H6" s="20" t="s">
        <v>150</v>
      </c>
      <c r="I6" s="14"/>
    </row>
    <row r="7" spans="1:14" x14ac:dyDescent="0.25">
      <c r="A7" s="8"/>
      <c r="B7" s="57" t="s">
        <v>736</v>
      </c>
      <c r="C7" s="12"/>
      <c r="D7" s="35"/>
      <c r="E7" s="17"/>
      <c r="F7" s="38"/>
      <c r="G7" s="12"/>
      <c r="H7" s="20" t="str">
        <f>IF($D$3 ="","",IF($D$3=$N$1,"EMS Port Disabled","EMS Port Enabled"))</f>
        <v/>
      </c>
      <c r="I7" s="14"/>
    </row>
    <row r="8" spans="1:14" x14ac:dyDescent="0.25">
      <c r="A8" s="8"/>
      <c r="B8" s="57" t="s">
        <v>737</v>
      </c>
      <c r="C8" s="12"/>
      <c r="D8" s="35"/>
      <c r="E8" s="17"/>
      <c r="F8" s="38"/>
      <c r="G8" s="12"/>
      <c r="H8" s="20" t="str">
        <f>IF($D$3 ="","",IF($D$3=$N$1,"EMS Port Disabled","EMS Port Enabled"))</f>
        <v/>
      </c>
      <c r="I8" s="14"/>
    </row>
    <row r="9" spans="1:14" x14ac:dyDescent="0.25">
      <c r="A9" s="8"/>
      <c r="B9" s="57" t="s">
        <v>738</v>
      </c>
      <c r="C9" s="12"/>
      <c r="D9" s="35"/>
      <c r="E9" s="17"/>
      <c r="F9" s="38"/>
      <c r="G9" s="12"/>
      <c r="H9" s="20" t="str">
        <f>IF($D$3 ="","",IF($D$3=$N$1,"EMS Port Disabled","EMS Port Enabled"))</f>
        <v/>
      </c>
      <c r="I9" s="14"/>
    </row>
    <row r="10" spans="1:14" x14ac:dyDescent="0.25">
      <c r="A10" s="8"/>
      <c r="B10" s="23" t="s">
        <v>739</v>
      </c>
      <c r="C10" s="34"/>
      <c r="D10" s="35"/>
      <c r="E10" s="17"/>
      <c r="F10" s="38"/>
      <c r="G10" s="12"/>
      <c r="H10" s="20" t="str">
        <f>IF($D$3 ="","",IF($D$3=$N$1,"EMS Port Disabled","EMS Port Enabled"))</f>
        <v/>
      </c>
      <c r="I10" s="14"/>
    </row>
    <row r="11" spans="1:14" x14ac:dyDescent="0.25">
      <c r="A11" s="24"/>
      <c r="B11" s="25"/>
      <c r="C11" s="25"/>
      <c r="D11" s="52"/>
      <c r="E11" s="25"/>
      <c r="F11" s="25"/>
      <c r="G11" s="25"/>
      <c r="H11" s="53"/>
      <c r="I11" s="28"/>
    </row>
  </sheetData>
  <dataValidations count="1">
    <dataValidation type="list" allowBlank="1" showInputMessage="1" showErrorMessage="1" sqref="D3" xr:uid="{00000000-0002-0000-0A00-000000000000}">
      <formula1>$N$1:$N$3</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7"/>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12" x14ac:dyDescent="0.25">
      <c r="A1" s="2"/>
      <c r="B1" s="3"/>
      <c r="C1" s="3"/>
      <c r="D1" s="30" t="s">
        <v>47</v>
      </c>
      <c r="E1" s="3"/>
      <c r="F1" s="30" t="s">
        <v>48</v>
      </c>
      <c r="G1" s="3"/>
      <c r="H1" s="6" t="s">
        <v>49</v>
      </c>
      <c r="I1" s="7"/>
      <c r="L1" s="45" t="s">
        <v>93</v>
      </c>
    </row>
    <row r="2" spans="1:12" x14ac:dyDescent="0.25">
      <c r="A2" s="8"/>
      <c r="B2" s="9" t="s">
        <v>153</v>
      </c>
      <c r="C2" s="12"/>
      <c r="D2" s="11" t="str">
        <f>General!D5</f>
        <v>Justin Bivins</v>
      </c>
      <c r="E2" s="12"/>
      <c r="F2" s="11" t="str">
        <f>General!F6</f>
        <v>Mike Liska</v>
      </c>
      <c r="G2" s="12"/>
      <c r="H2" s="4"/>
      <c r="I2" s="14"/>
      <c r="L2" s="45" t="s">
        <v>94</v>
      </c>
    </row>
    <row r="3" spans="1:12" x14ac:dyDescent="0.25">
      <c r="A3" s="8"/>
      <c r="B3" s="85" t="s">
        <v>659</v>
      </c>
      <c r="C3" s="12"/>
      <c r="D3" s="35" t="s">
        <v>93</v>
      </c>
      <c r="E3" s="12"/>
      <c r="F3" s="11"/>
      <c r="G3" s="12"/>
      <c r="H3" s="4"/>
      <c r="I3" s="14"/>
    </row>
    <row r="4" spans="1:12" x14ac:dyDescent="0.25">
      <c r="A4" s="8"/>
      <c r="B4" s="15" t="s">
        <v>154</v>
      </c>
      <c r="C4" s="34"/>
      <c r="D4" s="35" t="str">
        <f>IF(D3="Yes","","N/A")</f>
        <v/>
      </c>
      <c r="E4" s="17"/>
      <c r="F4" s="38" t="str">
        <f>IF(D3="Yes","","N/A")</f>
        <v/>
      </c>
      <c r="G4" s="12"/>
      <c r="H4" s="20" t="s">
        <v>155</v>
      </c>
      <c r="I4" s="14"/>
    </row>
    <row r="5" spans="1:12" x14ac:dyDescent="0.25">
      <c r="A5" s="8"/>
      <c r="B5" s="15" t="s">
        <v>156</v>
      </c>
      <c r="C5" s="12"/>
      <c r="D5" s="35" t="str">
        <f>IF(D3="Yes","","N/A")</f>
        <v/>
      </c>
      <c r="E5" s="17"/>
      <c r="F5" s="63" t="str">
        <f>IF(D3="Yes","","N/A")</f>
        <v/>
      </c>
      <c r="G5" s="12"/>
      <c r="H5" s="64" t="s">
        <v>157</v>
      </c>
      <c r="I5" s="14"/>
    </row>
    <row r="6" spans="1:12" x14ac:dyDescent="0.25">
      <c r="A6" s="8"/>
      <c r="B6" s="23" t="s">
        <v>158</v>
      </c>
      <c r="C6" s="34"/>
      <c r="D6" s="35" t="str">
        <f>IF(D3="Yes","","N/A")</f>
        <v/>
      </c>
      <c r="E6" s="17"/>
      <c r="F6" s="38" t="str">
        <f>IF(D3="Yes","","N/A")</f>
        <v/>
      </c>
      <c r="G6" s="12"/>
      <c r="H6" s="20" t="s">
        <v>159</v>
      </c>
      <c r="I6" s="14"/>
    </row>
    <row r="7" spans="1:12" x14ac:dyDescent="0.25">
      <c r="A7" s="24"/>
      <c r="B7" s="25"/>
      <c r="C7" s="25"/>
      <c r="D7" s="52"/>
      <c r="E7" s="25"/>
      <c r="F7" s="25"/>
      <c r="G7" s="25"/>
      <c r="H7" s="53"/>
      <c r="I7" s="28"/>
    </row>
  </sheetData>
  <dataValidations count="1">
    <dataValidation type="list" allowBlank="1" showInputMessage="1" showErrorMessage="1" sqref="D3" xr:uid="{00000000-0002-0000-0B00-000000000000}">
      <formula1>$L$1:$L$2</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Q57"/>
  <sheetViews>
    <sheetView workbookViewId="0"/>
  </sheetViews>
  <sheetFormatPr defaultColWidth="8.85546875" defaultRowHeight="15" x14ac:dyDescent="0.25"/>
  <cols>
    <col min="1" max="1" width="2.7109375" style="1" customWidth="1"/>
    <col min="2" max="2" width="23.7109375" style="1" bestFit="1" customWidth="1"/>
    <col min="3" max="3" width="2.85546875" style="1"/>
    <col min="4" max="9" width="11.5703125" style="1" customWidth="1"/>
    <col min="10" max="11" width="21" style="1" customWidth="1"/>
    <col min="12" max="12" width="2.7109375" style="1" customWidth="1"/>
    <col min="13" max="13" width="5" style="1" customWidth="1"/>
    <col min="14" max="14" width="3" style="1" bestFit="1" customWidth="1"/>
    <col min="15" max="15" width="29.7109375" style="1" bestFit="1" customWidth="1"/>
    <col min="16" max="17" width="31.7109375" style="1" bestFit="1" customWidth="1"/>
    <col min="18" max="16384" width="8.85546875" style="1"/>
  </cols>
  <sheetData>
    <row r="1" spans="1:17" ht="13.9" x14ac:dyDescent="0.25">
      <c r="A1" s="2"/>
      <c r="B1" s="3"/>
      <c r="C1" s="3"/>
      <c r="D1" s="167" t="s">
        <v>47</v>
      </c>
      <c r="E1" s="167"/>
      <c r="F1" s="3"/>
      <c r="G1" s="167" t="s">
        <v>48</v>
      </c>
      <c r="H1" s="167"/>
      <c r="I1" s="3"/>
      <c r="J1" s="6" t="s">
        <v>49</v>
      </c>
      <c r="K1" s="6"/>
      <c r="L1" s="7"/>
      <c r="P1" s="45" t="s">
        <v>93</v>
      </c>
    </row>
    <row r="2" spans="1:17" ht="13.9" x14ac:dyDescent="0.25">
      <c r="A2" s="8"/>
      <c r="B2" s="9" t="s">
        <v>160</v>
      </c>
      <c r="C2" s="12"/>
      <c r="D2" s="168" t="str">
        <f>General!D5</f>
        <v>Justin Bivins</v>
      </c>
      <c r="E2" s="168"/>
      <c r="F2" s="12"/>
      <c r="G2" s="168" t="str">
        <f>General!F6</f>
        <v>Mike Liska</v>
      </c>
      <c r="H2" s="168"/>
      <c r="I2" s="12"/>
      <c r="J2" s="4"/>
      <c r="K2" s="4"/>
      <c r="L2" s="14"/>
      <c r="P2" s="45" t="s">
        <v>94</v>
      </c>
    </row>
    <row r="3" spans="1:17" ht="14.45" customHeight="1" x14ac:dyDescent="0.3">
      <c r="A3" s="8"/>
      <c r="B3" s="15" t="s">
        <v>161</v>
      </c>
      <c r="C3" s="12"/>
      <c r="D3" s="163"/>
      <c r="E3" s="164"/>
      <c r="F3" s="17"/>
      <c r="G3" s="163"/>
      <c r="H3" s="164"/>
      <c r="I3" s="12"/>
      <c r="J3" s="165" t="s">
        <v>162</v>
      </c>
      <c r="K3" s="166"/>
      <c r="L3" s="14"/>
      <c r="O3" s="133" t="s">
        <v>710</v>
      </c>
      <c r="P3" s="134" t="s">
        <v>711</v>
      </c>
      <c r="Q3" s="134" t="s">
        <v>711</v>
      </c>
    </row>
    <row r="4" spans="1:17" ht="14.45" customHeight="1" x14ac:dyDescent="0.3">
      <c r="A4" s="8"/>
      <c r="B4" s="65" t="s">
        <v>591</v>
      </c>
      <c r="C4" s="12"/>
      <c r="D4" s="163" t="s">
        <v>93</v>
      </c>
      <c r="E4" s="164"/>
      <c r="F4" s="17"/>
      <c r="G4" s="17"/>
      <c r="H4" s="17"/>
      <c r="I4" s="12"/>
      <c r="J4" s="165" t="s">
        <v>592</v>
      </c>
      <c r="K4" s="166"/>
      <c r="L4" s="14"/>
      <c r="O4" s="133" t="s">
        <v>712</v>
      </c>
      <c r="P4" s="133" t="s">
        <v>710</v>
      </c>
      <c r="Q4" s="133" t="s">
        <v>710</v>
      </c>
    </row>
    <row r="5" spans="1:17" ht="14.45" x14ac:dyDescent="0.3">
      <c r="A5" s="8"/>
      <c r="B5" s="66" t="s">
        <v>79</v>
      </c>
      <c r="C5" s="12"/>
      <c r="D5" s="17"/>
      <c r="E5" s="17"/>
      <c r="F5" s="17"/>
      <c r="G5" s="17"/>
      <c r="H5" s="17"/>
      <c r="I5" s="12"/>
      <c r="J5" s="67"/>
      <c r="K5" s="67"/>
      <c r="L5" s="14"/>
      <c r="O5" s="133" t="s">
        <v>713</v>
      </c>
      <c r="P5" s="133" t="s">
        <v>712</v>
      </c>
      <c r="Q5" s="133" t="s">
        <v>712</v>
      </c>
    </row>
    <row r="6" spans="1:17" ht="14.45" customHeight="1" x14ac:dyDescent="0.3">
      <c r="A6" s="8"/>
      <c r="B6" s="55" t="s">
        <v>163</v>
      </c>
      <c r="C6" s="12"/>
      <c r="D6" s="163"/>
      <c r="E6" s="164"/>
      <c r="F6" s="17"/>
      <c r="G6" s="163"/>
      <c r="H6" s="164"/>
      <c r="I6" s="12"/>
      <c r="J6" s="165" t="s">
        <v>164</v>
      </c>
      <c r="K6" s="166"/>
      <c r="L6" s="14"/>
      <c r="O6" s="133" t="s">
        <v>714</v>
      </c>
      <c r="P6" s="133" t="s">
        <v>713</v>
      </c>
      <c r="Q6" s="133" t="s">
        <v>713</v>
      </c>
    </row>
    <row r="7" spans="1:17" ht="14.45" customHeight="1" x14ac:dyDescent="0.3">
      <c r="A7" s="8"/>
      <c r="B7" s="55" t="s">
        <v>165</v>
      </c>
      <c r="C7" s="12"/>
      <c r="D7" s="163"/>
      <c r="E7" s="164"/>
      <c r="F7" s="17"/>
      <c r="G7" s="163"/>
      <c r="H7" s="164"/>
      <c r="I7" s="12"/>
      <c r="J7" s="165" t="s">
        <v>166</v>
      </c>
      <c r="K7" s="166"/>
      <c r="L7" s="14"/>
      <c r="O7" s="133"/>
      <c r="P7" s="133" t="s">
        <v>714</v>
      </c>
      <c r="Q7" s="133" t="s">
        <v>714</v>
      </c>
    </row>
    <row r="8" spans="1:17" ht="14.45" customHeight="1" thickBot="1" x14ac:dyDescent="0.3">
      <c r="A8" s="8"/>
      <c r="B8" s="55" t="s">
        <v>167</v>
      </c>
      <c r="C8" s="12"/>
      <c r="D8" s="163"/>
      <c r="E8" s="164"/>
      <c r="F8" s="17"/>
      <c r="G8" s="163"/>
      <c r="H8" s="164"/>
      <c r="I8" s="12"/>
      <c r="J8" s="165" t="s">
        <v>168</v>
      </c>
      <c r="K8" s="166"/>
      <c r="L8" s="14"/>
    </row>
    <row r="9" spans="1:17" ht="14.45" customHeight="1" x14ac:dyDescent="0.3">
      <c r="A9" s="8"/>
      <c r="B9" s="55" t="s">
        <v>169</v>
      </c>
      <c r="C9" s="12"/>
      <c r="D9" s="163"/>
      <c r="E9" s="164"/>
      <c r="F9" s="17"/>
      <c r="G9" s="163"/>
      <c r="H9" s="164"/>
      <c r="I9" s="12"/>
      <c r="J9" s="165" t="s">
        <v>170</v>
      </c>
      <c r="K9" s="166"/>
      <c r="L9" s="14"/>
      <c r="N9" s="162" t="s">
        <v>666</v>
      </c>
      <c r="O9" s="160"/>
      <c r="P9" s="160"/>
      <c r="Q9" s="161"/>
    </row>
    <row r="10" spans="1:17" thickBot="1" x14ac:dyDescent="0.35">
      <c r="A10" s="8"/>
      <c r="B10" s="3"/>
      <c r="C10" s="12"/>
      <c r="D10" s="129"/>
      <c r="E10" s="129"/>
      <c r="F10" s="12"/>
      <c r="G10" s="129"/>
      <c r="H10" s="129"/>
      <c r="I10" s="12"/>
      <c r="J10" s="62"/>
      <c r="K10" s="62"/>
      <c r="L10" s="14"/>
      <c r="N10" s="146"/>
      <c r="O10" s="145" t="s">
        <v>667</v>
      </c>
      <c r="P10" s="145" t="s">
        <v>668</v>
      </c>
      <c r="Q10" s="144" t="s">
        <v>669</v>
      </c>
    </row>
    <row r="11" spans="1:17" ht="14.45" x14ac:dyDescent="0.3">
      <c r="A11" s="8"/>
      <c r="B11" s="9" t="s">
        <v>171</v>
      </c>
      <c r="C11" s="12"/>
      <c r="D11" s="17"/>
      <c r="E11" s="17"/>
      <c r="F11" s="17"/>
      <c r="G11" s="17"/>
      <c r="H11" s="17"/>
      <c r="I11" s="12"/>
      <c r="J11" s="67"/>
      <c r="K11" s="67"/>
      <c r="L11" s="14"/>
      <c r="N11" s="143">
        <v>1</v>
      </c>
      <c r="O11" s="142" t="s">
        <v>670</v>
      </c>
      <c r="P11" s="142" t="s">
        <v>671</v>
      </c>
      <c r="Q11" s="141" t="s">
        <v>672</v>
      </c>
    </row>
    <row r="12" spans="1:17" ht="14.45" x14ac:dyDescent="0.3">
      <c r="A12" s="8"/>
      <c r="B12" s="23" t="s">
        <v>172</v>
      </c>
      <c r="C12" s="12"/>
      <c r="D12" s="163"/>
      <c r="E12" s="164"/>
      <c r="F12" s="17"/>
      <c r="G12" s="163"/>
      <c r="H12" s="164"/>
      <c r="I12" s="12"/>
      <c r="J12" s="165" t="s">
        <v>173</v>
      </c>
      <c r="K12" s="166"/>
      <c r="L12" s="14"/>
      <c r="N12" s="140">
        <v>2</v>
      </c>
      <c r="O12" s="139" t="s">
        <v>673</v>
      </c>
      <c r="P12" s="139" t="s">
        <v>674</v>
      </c>
      <c r="Q12" s="138" t="s">
        <v>675</v>
      </c>
    </row>
    <row r="13" spans="1:17" ht="14.45" x14ac:dyDescent="0.3">
      <c r="A13" s="24"/>
      <c r="B13" s="25"/>
      <c r="C13" s="25"/>
      <c r="D13" s="52"/>
      <c r="E13" s="52"/>
      <c r="F13" s="25"/>
      <c r="G13" s="25"/>
      <c r="H13" s="25"/>
      <c r="I13" s="25"/>
      <c r="J13" s="25"/>
      <c r="K13" s="25"/>
      <c r="L13" s="28"/>
      <c r="N13" s="140">
        <v>3</v>
      </c>
      <c r="O13" s="139" t="s">
        <v>676</v>
      </c>
      <c r="P13" s="139" t="s">
        <v>677</v>
      </c>
      <c r="Q13" s="138" t="s">
        <v>678</v>
      </c>
    </row>
    <row r="14" spans="1:17" ht="14.45" x14ac:dyDescent="0.3">
      <c r="N14" s="140">
        <v>4</v>
      </c>
      <c r="O14" s="139" t="s">
        <v>679</v>
      </c>
      <c r="P14" s="139" t="s">
        <v>680</v>
      </c>
      <c r="Q14" s="138" t="s">
        <v>681</v>
      </c>
    </row>
    <row r="15" spans="1:17" ht="14.45" x14ac:dyDescent="0.3">
      <c r="A15" s="2"/>
      <c r="B15" s="3"/>
      <c r="C15" s="3"/>
      <c r="D15" s="30"/>
      <c r="E15" s="30"/>
      <c r="F15" s="3"/>
      <c r="G15" s="30"/>
      <c r="H15" s="30"/>
      <c r="I15" s="3"/>
      <c r="J15" s="7"/>
      <c r="N15" s="140">
        <v>5</v>
      </c>
      <c r="O15" s="139" t="s">
        <v>682</v>
      </c>
      <c r="P15" s="139" t="s">
        <v>683</v>
      </c>
      <c r="Q15" s="138" t="s">
        <v>684</v>
      </c>
    </row>
    <row r="16" spans="1:17" ht="14.45" x14ac:dyDescent="0.3">
      <c r="A16" s="8"/>
      <c r="B16" s="9" t="s">
        <v>174</v>
      </c>
      <c r="C16" s="12"/>
      <c r="D16" s="17"/>
      <c r="E16" s="17"/>
      <c r="F16" s="17" t="s">
        <v>175</v>
      </c>
      <c r="G16" s="17" t="s">
        <v>176</v>
      </c>
      <c r="H16" s="17" t="s">
        <v>177</v>
      </c>
      <c r="I16" s="17" t="s">
        <v>178</v>
      </c>
      <c r="J16" s="14"/>
      <c r="N16" s="140">
        <v>6</v>
      </c>
      <c r="O16" s="139"/>
      <c r="P16" s="139" t="s">
        <v>685</v>
      </c>
      <c r="Q16" s="138" t="s">
        <v>686</v>
      </c>
    </row>
    <row r="17" spans="1:17" ht="14.45" x14ac:dyDescent="0.3">
      <c r="A17" s="8"/>
      <c r="B17" s="15" t="s">
        <v>179</v>
      </c>
      <c r="C17" s="12"/>
      <c r="D17" s="68"/>
      <c r="E17" s="11"/>
      <c r="F17" s="69" t="str">
        <f>IF(General!$D$3 = "D20M++", IF(D17="","",(13*D17)+3), IF(D17="","",(16*D17)+3))</f>
        <v/>
      </c>
      <c r="G17" s="69" t="str">
        <f>IF(D17="","",(10*D17)+9)</f>
        <v/>
      </c>
      <c r="H17" s="69" t="str">
        <f>IF(D17="","",(5*D17)+(24*D17))</f>
        <v/>
      </c>
      <c r="I17" s="69" t="str">
        <f>IF(D17="","",D17)</f>
        <v/>
      </c>
      <c r="J17" s="14"/>
      <c r="N17" s="140">
        <v>7</v>
      </c>
      <c r="O17" s="139"/>
      <c r="P17" s="139" t="s">
        <v>687</v>
      </c>
      <c r="Q17" s="138" t="s">
        <v>688</v>
      </c>
    </row>
    <row r="18" spans="1:17" ht="14.45" x14ac:dyDescent="0.3">
      <c r="A18" s="8"/>
      <c r="B18" s="15" t="s">
        <v>180</v>
      </c>
      <c r="C18" s="12"/>
      <c r="D18" s="68"/>
      <c r="E18" s="11"/>
      <c r="F18" s="69" t="str">
        <f>IF(General!$D$3 = "D20M++", IF(D18="","",(13*D18)+3), IF(D18="","",(16*D18)+3))</f>
        <v/>
      </c>
      <c r="G18" s="69" t="str">
        <f>IF(D18="","",(10*D18)+9)</f>
        <v/>
      </c>
      <c r="H18" s="69" t="str">
        <f>IF(D18="","",(5*D18)+(21*D18))</f>
        <v/>
      </c>
      <c r="I18" s="69" t="str">
        <f>IF(D18="","",D18)</f>
        <v/>
      </c>
      <c r="J18" s="14"/>
      <c r="N18" s="140">
        <v>8</v>
      </c>
      <c r="O18" s="139"/>
      <c r="P18" s="139" t="s">
        <v>689</v>
      </c>
      <c r="Q18" s="138" t="s">
        <v>690</v>
      </c>
    </row>
    <row r="19" spans="1:17" ht="14.45" x14ac:dyDescent="0.3">
      <c r="A19" s="8"/>
      <c r="B19" s="15" t="s">
        <v>181</v>
      </c>
      <c r="C19" s="12"/>
      <c r="D19" s="68"/>
      <c r="E19" s="149"/>
      <c r="F19" s="69" t="str">
        <f>IF(General!$D$3 = "D20M++", IF(D19="","",(13*D19)+3+D20), IF(D19="","",(16*D19)+3+D20))</f>
        <v/>
      </c>
      <c r="G19" s="69" t="str">
        <f>IF(D19="","",(10*D19)+9)</f>
        <v/>
      </c>
      <c r="H19" s="69" t="str">
        <f>IF(D19="","",(5*D19)+(D21*D19))</f>
        <v/>
      </c>
      <c r="I19" s="69" t="str">
        <f>IF(D19="","",D19)</f>
        <v/>
      </c>
      <c r="J19" s="14"/>
      <c r="N19" s="140">
        <v>9</v>
      </c>
      <c r="O19" s="139"/>
      <c r="P19" s="139" t="s">
        <v>691</v>
      </c>
      <c r="Q19" s="138" t="s">
        <v>692</v>
      </c>
    </row>
    <row r="20" spans="1:17" ht="14.45" x14ac:dyDescent="0.3">
      <c r="A20" s="8"/>
      <c r="B20" s="55" t="s">
        <v>730</v>
      </c>
      <c r="C20" s="12"/>
      <c r="D20" s="68"/>
      <c r="E20" s="11"/>
      <c r="F20" s="148"/>
      <c r="G20" s="148"/>
      <c r="H20" s="148"/>
      <c r="I20" s="148"/>
      <c r="J20" s="14"/>
      <c r="N20" s="140">
        <v>10</v>
      </c>
      <c r="O20" s="139"/>
      <c r="P20" s="139" t="s">
        <v>693</v>
      </c>
      <c r="Q20" s="138" t="s">
        <v>694</v>
      </c>
    </row>
    <row r="21" spans="1:17" thickBot="1" x14ac:dyDescent="0.35">
      <c r="A21" s="8"/>
      <c r="B21" s="70" t="s">
        <v>182</v>
      </c>
      <c r="C21" s="12"/>
      <c r="D21" s="68"/>
      <c r="E21" s="11" t="s">
        <v>183</v>
      </c>
      <c r="F21" s="150">
        <f>SUM(F17:F19)</f>
        <v>0</v>
      </c>
      <c r="G21" s="150">
        <f>SUM(G17:G19)</f>
        <v>0</v>
      </c>
      <c r="H21" s="150">
        <f>SUM(H17:H19)</f>
        <v>0</v>
      </c>
      <c r="I21" s="150">
        <f>SUM(I17:I19)</f>
        <v>0</v>
      </c>
      <c r="J21" s="14"/>
      <c r="N21" s="140">
        <v>11</v>
      </c>
      <c r="O21" s="139"/>
      <c r="P21" s="139" t="s">
        <v>695</v>
      </c>
      <c r="Q21" s="138" t="s">
        <v>696</v>
      </c>
    </row>
    <row r="22" spans="1:17" thickTop="1" x14ac:dyDescent="0.3">
      <c r="A22" s="8"/>
      <c r="B22" s="3"/>
      <c r="C22" s="12"/>
      <c r="D22" s="11"/>
      <c r="E22" s="11"/>
      <c r="F22" s="12"/>
      <c r="G22" s="11"/>
      <c r="H22" s="11"/>
      <c r="I22" s="12"/>
      <c r="J22" s="14"/>
      <c r="N22" s="140">
        <v>12</v>
      </c>
      <c r="O22" s="139"/>
      <c r="P22" s="139" t="s">
        <v>697</v>
      </c>
      <c r="Q22" s="138" t="s">
        <v>698</v>
      </c>
    </row>
    <row r="23" spans="1:17" ht="14.45" x14ac:dyDescent="0.3">
      <c r="A23" s="8"/>
      <c r="B23" s="9" t="s">
        <v>184</v>
      </c>
      <c r="C23" s="12"/>
      <c r="D23" s="17"/>
      <c r="E23" s="17"/>
      <c r="F23" s="17" t="s">
        <v>175</v>
      </c>
      <c r="G23" s="17" t="s">
        <v>176</v>
      </c>
      <c r="H23" s="17" t="s">
        <v>177</v>
      </c>
      <c r="I23" s="17" t="s">
        <v>178</v>
      </c>
      <c r="J23" s="14"/>
      <c r="N23" s="140">
        <v>13</v>
      </c>
      <c r="O23" s="139"/>
      <c r="P23" s="139" t="s">
        <v>699</v>
      </c>
      <c r="Q23" s="138" t="s">
        <v>700</v>
      </c>
    </row>
    <row r="24" spans="1:17" ht="14.45" x14ac:dyDescent="0.3">
      <c r="A24" s="8"/>
      <c r="B24" s="15" t="s">
        <v>179</v>
      </c>
      <c r="C24" s="12"/>
      <c r="D24" s="68"/>
      <c r="E24" s="11"/>
      <c r="F24" s="69" t="str">
        <f>IF(General!$D$3 = "D20M++", IF(D24="","",(13*D24)+3), IF(D24="","",(16*D24)+3))</f>
        <v/>
      </c>
      <c r="G24" s="69" t="str">
        <f>IF(D24="","",(10*D24)+9)</f>
        <v/>
      </c>
      <c r="H24" s="69" t="str">
        <f>IF(D24="","",(5*D24)+(24*D24))</f>
        <v/>
      </c>
      <c r="I24" s="69" t="str">
        <f>IF(D24="","",D24)</f>
        <v/>
      </c>
      <c r="J24" s="14"/>
      <c r="N24" s="140">
        <v>14</v>
      </c>
      <c r="O24" s="139"/>
      <c r="P24" s="139" t="s">
        <v>701</v>
      </c>
      <c r="Q24" s="138" t="s">
        <v>702</v>
      </c>
    </row>
    <row r="25" spans="1:17" ht="14.45" x14ac:dyDescent="0.3">
      <c r="A25" s="8"/>
      <c r="B25" s="15" t="s">
        <v>180</v>
      </c>
      <c r="C25" s="12"/>
      <c r="D25" s="68"/>
      <c r="E25" s="11"/>
      <c r="F25" s="69" t="str">
        <f>IF(General!$D$3 = "D20M++", IF(D25="","",(13*D25)+3), IF(D25="","",(16*D25)+3))</f>
        <v/>
      </c>
      <c r="G25" s="69" t="str">
        <f>IF(D25="","",(10*D25)+9)</f>
        <v/>
      </c>
      <c r="H25" s="69" t="str">
        <f>IF(D25="","",(5*D25)+(21*D25))</f>
        <v/>
      </c>
      <c r="I25" s="69" t="str">
        <f>IF(D25="","",D25)</f>
        <v/>
      </c>
      <c r="J25" s="14"/>
      <c r="N25" s="140">
        <v>15</v>
      </c>
      <c r="O25" s="139"/>
      <c r="P25" s="139" t="s">
        <v>703</v>
      </c>
      <c r="Q25" s="138" t="s">
        <v>704</v>
      </c>
    </row>
    <row r="26" spans="1:17" ht="14.45" x14ac:dyDescent="0.3">
      <c r="A26" s="8"/>
      <c r="B26" s="15" t="s">
        <v>181</v>
      </c>
      <c r="C26" s="12"/>
      <c r="D26" s="68"/>
      <c r="E26" s="149"/>
      <c r="F26" s="69" t="str">
        <f>IF(General!$D$3 = "D20M++", IF(D26="","",(13*D26)+3+D27), IF(D26="","",(16*D26)+3+D27))</f>
        <v/>
      </c>
      <c r="G26" s="69" t="str">
        <f>IF(D26="","",(10*D26)+9)</f>
        <v/>
      </c>
      <c r="H26" s="69" t="str">
        <f>IF(D26="","",(5*D26)+(D28*D26))</f>
        <v/>
      </c>
      <c r="I26" s="69" t="str">
        <f>IF(D26="","",D26)</f>
        <v/>
      </c>
      <c r="J26" s="14"/>
      <c r="N26" s="140">
        <v>16</v>
      </c>
      <c r="O26" s="139"/>
      <c r="P26" s="139" t="s">
        <v>705</v>
      </c>
      <c r="Q26" s="138" t="s">
        <v>706</v>
      </c>
    </row>
    <row r="27" spans="1:17" ht="14.45" x14ac:dyDescent="0.3">
      <c r="A27" s="8"/>
      <c r="B27" s="55" t="s">
        <v>730</v>
      </c>
      <c r="C27" s="12"/>
      <c r="D27" s="68"/>
      <c r="E27" s="11"/>
      <c r="F27" s="148"/>
      <c r="G27" s="148"/>
      <c r="H27" s="148"/>
      <c r="I27" s="148"/>
      <c r="J27" s="14"/>
      <c r="N27" s="140">
        <v>17</v>
      </c>
      <c r="O27" s="139"/>
      <c r="P27" s="139"/>
      <c r="Q27" s="138" t="s">
        <v>707</v>
      </c>
    </row>
    <row r="28" spans="1:17" thickBot="1" x14ac:dyDescent="0.35">
      <c r="A28" s="8"/>
      <c r="B28" s="70" t="s">
        <v>182</v>
      </c>
      <c r="C28" s="12"/>
      <c r="D28" s="68"/>
      <c r="E28" s="11" t="s">
        <v>183</v>
      </c>
      <c r="F28" s="150">
        <f>SUM(F24:F26)</f>
        <v>0</v>
      </c>
      <c r="G28" s="150">
        <f>SUM(G24:G26)</f>
        <v>0</v>
      </c>
      <c r="H28" s="150">
        <f>SUM(H24:H26)</f>
        <v>0</v>
      </c>
      <c r="I28" s="150">
        <f>SUM(I24:I26)</f>
        <v>0</v>
      </c>
      <c r="J28" s="14"/>
      <c r="N28" s="140">
        <v>18</v>
      </c>
      <c r="O28" s="139"/>
      <c r="P28" s="139"/>
      <c r="Q28" s="138" t="s">
        <v>708</v>
      </c>
    </row>
    <row r="29" spans="1:17" ht="15.6" thickTop="1" thickBot="1" x14ac:dyDescent="0.35">
      <c r="A29" s="8"/>
      <c r="B29" s="3"/>
      <c r="C29" s="12"/>
      <c r="D29" s="11"/>
      <c r="E29" s="11"/>
      <c r="F29" s="12"/>
      <c r="G29" s="11"/>
      <c r="H29" s="11"/>
      <c r="I29" s="12"/>
      <c r="J29" s="14"/>
      <c r="N29" s="137">
        <v>19</v>
      </c>
      <c r="O29" s="136"/>
      <c r="P29" s="136"/>
      <c r="Q29" s="135" t="s">
        <v>709</v>
      </c>
    </row>
    <row r="30" spans="1:17" ht="14.45" thickBot="1" x14ac:dyDescent="0.3">
      <c r="A30" s="8"/>
      <c r="B30" s="9" t="s">
        <v>185</v>
      </c>
      <c r="C30" s="12"/>
      <c r="D30" s="17"/>
      <c r="E30" s="17"/>
      <c r="F30" s="17" t="s">
        <v>175</v>
      </c>
      <c r="G30" s="17" t="s">
        <v>176</v>
      </c>
      <c r="H30" s="17" t="s">
        <v>177</v>
      </c>
      <c r="I30" s="17" t="s">
        <v>178</v>
      </c>
      <c r="J30" s="14"/>
    </row>
    <row r="31" spans="1:17" ht="14.45" x14ac:dyDescent="0.3">
      <c r="A31" s="8"/>
      <c r="B31" s="15" t="s">
        <v>179</v>
      </c>
      <c r="C31" s="12"/>
      <c r="D31" s="68"/>
      <c r="E31" s="11"/>
      <c r="F31" s="69" t="str">
        <f>IF(General!$D$3 = "D20M++", IF(D31="","",(13*D31)+3), IF(D31="","",(16*D31)+3))</f>
        <v/>
      </c>
      <c r="G31" s="69" t="str">
        <f>IF(D31="","",(10*D31)+9)</f>
        <v/>
      </c>
      <c r="H31" s="69" t="str">
        <f>IF(D31="","",(5*D31)+(24*D31))</f>
        <v/>
      </c>
      <c r="I31" s="69" t="str">
        <f>IF(D31="","",D31)</f>
        <v/>
      </c>
      <c r="J31" s="14"/>
      <c r="N31" s="159" t="s">
        <v>718</v>
      </c>
      <c r="O31" s="160"/>
      <c r="P31" s="160"/>
      <c r="Q31" s="161"/>
    </row>
    <row r="32" spans="1:17" thickBot="1" x14ac:dyDescent="0.35">
      <c r="A32" s="8"/>
      <c r="B32" s="15" t="s">
        <v>180</v>
      </c>
      <c r="C32" s="12"/>
      <c r="D32" s="68"/>
      <c r="E32" s="11"/>
      <c r="F32" s="69" t="str">
        <f>IF(General!$D$3 = "D20M++", IF(D32="","",(13*D32)+3), IF(D32="","",(16*D32)+3))</f>
        <v/>
      </c>
      <c r="G32" s="69" t="str">
        <f>IF(D32="","",(10*D32)+9)</f>
        <v/>
      </c>
      <c r="H32" s="69" t="str">
        <f>IF(D32="","",(5*D32)+(21*D32))</f>
        <v/>
      </c>
      <c r="I32" s="69" t="str">
        <f>IF(D32="","",D32)</f>
        <v/>
      </c>
      <c r="J32" s="14"/>
      <c r="N32" s="146"/>
      <c r="O32" s="145" t="s">
        <v>667</v>
      </c>
      <c r="P32" s="145" t="s">
        <v>668</v>
      </c>
      <c r="Q32" s="144" t="s">
        <v>669</v>
      </c>
    </row>
    <row r="33" spans="1:17" ht="14.45" x14ac:dyDescent="0.3">
      <c r="A33" s="8"/>
      <c r="B33" s="15" t="s">
        <v>181</v>
      </c>
      <c r="C33" s="12"/>
      <c r="D33" s="68"/>
      <c r="E33" s="149"/>
      <c r="F33" s="69" t="str">
        <f>IF(General!$D$3 = "D20M++", IF(D33="","",(13*D33)+3+D34), IF(D33="","",(16*D33)+3+D34))</f>
        <v/>
      </c>
      <c r="G33" s="69" t="str">
        <f>IF(D33="","",(10*D33)+9)</f>
        <v/>
      </c>
      <c r="H33" s="69" t="str">
        <f>IF(D33="","",(5*D33)+(D35*D33))</f>
        <v/>
      </c>
      <c r="I33" s="69" t="str">
        <f>IF(D33="","",D33)</f>
        <v/>
      </c>
      <c r="J33" s="14"/>
      <c r="N33" s="143">
        <v>1</v>
      </c>
      <c r="O33" s="142" t="s">
        <v>670</v>
      </c>
      <c r="P33" s="142" t="s">
        <v>671</v>
      </c>
      <c r="Q33" s="141" t="s">
        <v>672</v>
      </c>
    </row>
    <row r="34" spans="1:17" ht="14.45" x14ac:dyDescent="0.3">
      <c r="A34" s="8"/>
      <c r="B34" s="55" t="s">
        <v>730</v>
      </c>
      <c r="C34" s="12"/>
      <c r="D34" s="68"/>
      <c r="E34" s="11"/>
      <c r="F34" s="148"/>
      <c r="G34" s="148"/>
      <c r="H34" s="148"/>
      <c r="I34" s="148"/>
      <c r="J34" s="14"/>
      <c r="N34" s="140">
        <v>2</v>
      </c>
      <c r="O34" s="139" t="s">
        <v>673</v>
      </c>
      <c r="P34" s="139" t="s">
        <v>674</v>
      </c>
      <c r="Q34" s="138" t="s">
        <v>675</v>
      </c>
    </row>
    <row r="35" spans="1:17" thickBot="1" x14ac:dyDescent="0.35">
      <c r="A35" s="8"/>
      <c r="B35" s="70" t="s">
        <v>182</v>
      </c>
      <c r="C35" s="12"/>
      <c r="D35" s="68"/>
      <c r="E35" s="11" t="s">
        <v>183</v>
      </c>
      <c r="F35" s="150">
        <f>SUM(F31:F33)</f>
        <v>0</v>
      </c>
      <c r="G35" s="150">
        <f>SUM(G31:G33)</f>
        <v>0</v>
      </c>
      <c r="H35" s="150">
        <f>SUM(H31:H33)</f>
        <v>0</v>
      </c>
      <c r="I35" s="150">
        <f>SUM(I31:I33)</f>
        <v>0</v>
      </c>
      <c r="J35" s="14"/>
      <c r="N35" s="140">
        <v>3</v>
      </c>
      <c r="O35" s="139" t="s">
        <v>676</v>
      </c>
      <c r="P35" s="139" t="s">
        <v>677</v>
      </c>
      <c r="Q35" s="138" t="s">
        <v>678</v>
      </c>
    </row>
    <row r="36" spans="1:17" thickTop="1" x14ac:dyDescent="0.3">
      <c r="A36" s="8"/>
      <c r="B36" s="3"/>
      <c r="C36" s="12"/>
      <c r="D36" s="11"/>
      <c r="E36" s="11"/>
      <c r="F36" s="12"/>
      <c r="G36" s="11"/>
      <c r="H36" s="11"/>
      <c r="I36" s="12"/>
      <c r="J36" s="14"/>
      <c r="N36" s="140">
        <v>4</v>
      </c>
      <c r="O36" s="139" t="s">
        <v>679</v>
      </c>
      <c r="P36" s="139" t="s">
        <v>680</v>
      </c>
      <c r="Q36" s="138" t="s">
        <v>681</v>
      </c>
    </row>
    <row r="37" spans="1:17" ht="14.45" x14ac:dyDescent="0.3">
      <c r="A37" s="8"/>
      <c r="B37" s="9" t="s">
        <v>186</v>
      </c>
      <c r="C37" s="12"/>
      <c r="D37" s="17"/>
      <c r="E37" s="17"/>
      <c r="F37" s="17" t="s">
        <v>175</v>
      </c>
      <c r="G37" s="17" t="s">
        <v>176</v>
      </c>
      <c r="H37" s="17" t="s">
        <v>177</v>
      </c>
      <c r="I37" s="17" t="s">
        <v>178</v>
      </c>
      <c r="J37" s="14"/>
      <c r="N37" s="140">
        <v>5</v>
      </c>
      <c r="O37" s="139" t="s">
        <v>682</v>
      </c>
      <c r="P37" s="139" t="s">
        <v>683</v>
      </c>
      <c r="Q37" s="138" t="s">
        <v>684</v>
      </c>
    </row>
    <row r="38" spans="1:17" ht="14.45" x14ac:dyDescent="0.3">
      <c r="A38" s="8"/>
      <c r="B38" s="15" t="s">
        <v>179</v>
      </c>
      <c r="C38" s="12"/>
      <c r="D38" s="68"/>
      <c r="E38" s="11"/>
      <c r="F38" s="69" t="str">
        <f>IF(General!$D$3 = "D20M++", IF(D38="","",(13*D38)+3), IF(D38="","",(16*D38)+3))</f>
        <v/>
      </c>
      <c r="G38" s="69" t="str">
        <f>IF(D38="","",(10*D38)+9)</f>
        <v/>
      </c>
      <c r="H38" s="69" t="str">
        <f>IF(D38="","",(5*D38)+(24*D38))</f>
        <v/>
      </c>
      <c r="I38" s="69" t="str">
        <f>IF(D38="","",D38)</f>
        <v/>
      </c>
      <c r="J38" s="14"/>
      <c r="N38" s="140">
        <v>6</v>
      </c>
      <c r="O38" s="139"/>
      <c r="P38" s="139" t="s">
        <v>685</v>
      </c>
      <c r="Q38" s="138" t="s">
        <v>686</v>
      </c>
    </row>
    <row r="39" spans="1:17" ht="14.45" x14ac:dyDescent="0.3">
      <c r="A39" s="8"/>
      <c r="B39" s="15" t="s">
        <v>180</v>
      </c>
      <c r="C39" s="12"/>
      <c r="D39" s="68"/>
      <c r="E39" s="11"/>
      <c r="F39" s="69" t="str">
        <f>IF(General!$D$3 = "D20M++", IF(D39="","",(13*D39)+3), IF(D39="","",(16*D39)+3))</f>
        <v/>
      </c>
      <c r="G39" s="69" t="str">
        <f>IF(D39="","",(10*D39)+9)</f>
        <v/>
      </c>
      <c r="H39" s="69" t="str">
        <f>IF(D39="","",(5*D39)+(21*D39))</f>
        <v/>
      </c>
      <c r="I39" s="69" t="str">
        <f>IF(D39="","",D39)</f>
        <v/>
      </c>
      <c r="J39" s="14"/>
      <c r="N39" s="140">
        <v>7</v>
      </c>
      <c r="O39" s="139"/>
      <c r="P39" s="139" t="s">
        <v>687</v>
      </c>
      <c r="Q39" s="138" t="s">
        <v>688</v>
      </c>
    </row>
    <row r="40" spans="1:17" ht="14.45" x14ac:dyDescent="0.3">
      <c r="A40" s="8"/>
      <c r="B40" s="15" t="s">
        <v>181</v>
      </c>
      <c r="C40" s="12"/>
      <c r="D40" s="68"/>
      <c r="E40" s="149"/>
      <c r="F40" s="69" t="str">
        <f>IF(General!$D$3 = "D20M++", IF(D40="","",(13*D40)+3+D41), IF(D40="","",(16*D40)+3+D41))</f>
        <v/>
      </c>
      <c r="G40" s="69" t="str">
        <f>IF(D40="","",(10*D40)+9)</f>
        <v/>
      </c>
      <c r="H40" s="69" t="str">
        <f>IF(D40="","",(5*D40)+(D42*D40))</f>
        <v/>
      </c>
      <c r="I40" s="69" t="str">
        <f>IF(D40="","",D40)</f>
        <v/>
      </c>
      <c r="J40" s="14"/>
      <c r="N40" s="140">
        <v>8</v>
      </c>
      <c r="O40" s="139"/>
      <c r="P40" s="139" t="s">
        <v>689</v>
      </c>
      <c r="Q40" s="138" t="s">
        <v>690</v>
      </c>
    </row>
    <row r="41" spans="1:17" x14ac:dyDescent="0.25">
      <c r="A41" s="8"/>
      <c r="B41" s="55" t="s">
        <v>730</v>
      </c>
      <c r="C41" s="12"/>
      <c r="D41" s="68"/>
      <c r="E41" s="11"/>
      <c r="F41" s="148"/>
      <c r="G41" s="148"/>
      <c r="H41" s="148"/>
      <c r="I41" s="148"/>
      <c r="J41" s="14"/>
      <c r="N41" s="140">
        <v>8</v>
      </c>
      <c r="O41" s="139"/>
      <c r="P41" s="139" t="s">
        <v>691</v>
      </c>
      <c r="Q41" s="138" t="s">
        <v>692</v>
      </c>
    </row>
    <row r="42" spans="1:17" ht="15.75" thickBot="1" x14ac:dyDescent="0.3">
      <c r="A42" s="8"/>
      <c r="B42" s="70" t="s">
        <v>182</v>
      </c>
      <c r="C42" s="12"/>
      <c r="D42" s="68"/>
      <c r="E42" s="11" t="s">
        <v>183</v>
      </c>
      <c r="F42" s="150">
        <f>SUM(F38:F40)</f>
        <v>0</v>
      </c>
      <c r="G42" s="150">
        <f>SUM(G38:G40)</f>
        <v>0</v>
      </c>
      <c r="H42" s="150">
        <f>SUM(H38:H40)</f>
        <v>0</v>
      </c>
      <c r="I42" s="150">
        <f>SUM(I38:I40)</f>
        <v>0</v>
      </c>
      <c r="J42" s="14"/>
      <c r="N42" s="140">
        <v>10</v>
      </c>
      <c r="O42" s="139"/>
      <c r="P42" s="139" t="s">
        <v>693</v>
      </c>
      <c r="Q42" s="138" t="s">
        <v>694</v>
      </c>
    </row>
    <row r="43" spans="1:17" ht="15.75" thickTop="1" x14ac:dyDescent="0.25">
      <c r="A43" s="8"/>
      <c r="B43" s="3"/>
      <c r="C43" s="12"/>
      <c r="D43" s="11"/>
      <c r="E43" s="11"/>
      <c r="F43" s="12"/>
      <c r="G43" s="11"/>
      <c r="H43" s="11"/>
      <c r="I43" s="12"/>
      <c r="J43" s="14"/>
      <c r="N43" s="140">
        <v>11</v>
      </c>
      <c r="O43" s="139"/>
      <c r="P43" s="139" t="s">
        <v>695</v>
      </c>
      <c r="Q43" s="138" t="s">
        <v>696</v>
      </c>
    </row>
    <row r="44" spans="1:17" x14ac:dyDescent="0.25">
      <c r="A44" s="8"/>
      <c r="B44" s="9" t="s">
        <v>187</v>
      </c>
      <c r="C44" s="12"/>
      <c r="D44" s="17"/>
      <c r="E44" s="17"/>
      <c r="F44" s="17" t="s">
        <v>175</v>
      </c>
      <c r="G44" s="17" t="s">
        <v>176</v>
      </c>
      <c r="H44" s="17" t="s">
        <v>177</v>
      </c>
      <c r="I44" s="17" t="s">
        <v>178</v>
      </c>
      <c r="J44" s="14"/>
      <c r="N44" s="140">
        <v>12</v>
      </c>
      <c r="O44" s="139"/>
      <c r="P44" s="139" t="s">
        <v>697</v>
      </c>
      <c r="Q44" s="138" t="s">
        <v>698</v>
      </c>
    </row>
    <row r="45" spans="1:17" x14ac:dyDescent="0.25">
      <c r="A45" s="8"/>
      <c r="B45" s="15" t="s">
        <v>179</v>
      </c>
      <c r="C45" s="12"/>
      <c r="D45" s="68"/>
      <c r="E45" s="11"/>
      <c r="F45" s="69" t="str">
        <f>IF(General!$D$3 = "D20M++", IF(D45="","",(13*D45)+3), IF(D45="","",(16*D45)+3))</f>
        <v/>
      </c>
      <c r="G45" s="69" t="str">
        <f>IF(D45="","",(10*D45)+9)</f>
        <v/>
      </c>
      <c r="H45" s="69" t="str">
        <f>IF(D45="","",(5*D45)+(24*D45))</f>
        <v/>
      </c>
      <c r="I45" s="69" t="str">
        <f>IF(D45="","",D45)</f>
        <v/>
      </c>
      <c r="J45" s="14"/>
      <c r="N45" s="140">
        <v>13</v>
      </c>
      <c r="O45" s="139"/>
      <c r="P45" s="139" t="s">
        <v>699</v>
      </c>
      <c r="Q45" s="138" t="s">
        <v>700</v>
      </c>
    </row>
    <row r="46" spans="1:17" x14ac:dyDescent="0.25">
      <c r="A46" s="8"/>
      <c r="B46" s="15" t="s">
        <v>180</v>
      </c>
      <c r="C46" s="12"/>
      <c r="D46" s="68"/>
      <c r="E46" s="11"/>
      <c r="F46" s="69" t="str">
        <f>IF(General!$D$3 = "D20M++", IF(D46="","",(13*D46)+3), IF(D46="","",(16*D46)+3))</f>
        <v/>
      </c>
      <c r="G46" s="69" t="str">
        <f>IF(D46="","",(10*D46)+9)</f>
        <v/>
      </c>
      <c r="H46" s="69" t="str">
        <f>IF(D46="","",(5*D46)+(21*D46))</f>
        <v/>
      </c>
      <c r="I46" s="69" t="str">
        <f>IF(D46="","",D46)</f>
        <v/>
      </c>
      <c r="J46" s="14"/>
      <c r="N46" s="140">
        <v>14</v>
      </c>
      <c r="O46" s="139"/>
      <c r="P46" s="139" t="s">
        <v>701</v>
      </c>
      <c r="Q46" s="138" t="s">
        <v>702</v>
      </c>
    </row>
    <row r="47" spans="1:17" x14ac:dyDescent="0.25">
      <c r="A47" s="8"/>
      <c r="B47" s="15" t="s">
        <v>181</v>
      </c>
      <c r="C47" s="12"/>
      <c r="D47" s="68"/>
      <c r="E47" s="149"/>
      <c r="F47" s="69" t="str">
        <f>IF(General!$D$3 = "D20M++", IF(D47="","",(13*D47)+3+D48), IF(D47="","",(16*D47)+3+D48))</f>
        <v/>
      </c>
      <c r="G47" s="69" t="str">
        <f>IF(D47="","",(10*D47)+9)</f>
        <v/>
      </c>
      <c r="H47" s="69" t="str">
        <f>IF(D47="","",(5*D47)+(D49*D47))</f>
        <v/>
      </c>
      <c r="I47" s="69" t="str">
        <f>IF(D47="","",D47)</f>
        <v/>
      </c>
      <c r="J47" s="14"/>
      <c r="N47" s="140">
        <v>15</v>
      </c>
      <c r="O47" s="139"/>
      <c r="P47" s="139" t="s">
        <v>703</v>
      </c>
      <c r="Q47" s="138" t="s">
        <v>704</v>
      </c>
    </row>
    <row r="48" spans="1:17" x14ac:dyDescent="0.25">
      <c r="A48" s="8"/>
      <c r="B48" s="55" t="s">
        <v>730</v>
      </c>
      <c r="C48" s="12"/>
      <c r="D48" s="68"/>
      <c r="E48" s="11"/>
      <c r="F48" s="148"/>
      <c r="G48" s="148"/>
      <c r="H48" s="148"/>
      <c r="I48" s="148"/>
      <c r="J48" s="14"/>
      <c r="N48" s="140">
        <v>16</v>
      </c>
      <c r="O48" s="139"/>
      <c r="P48" s="139" t="s">
        <v>705</v>
      </c>
      <c r="Q48" s="138" t="s">
        <v>706</v>
      </c>
    </row>
    <row r="49" spans="1:17" ht="15.75" thickBot="1" x14ac:dyDescent="0.3">
      <c r="A49" s="8"/>
      <c r="B49" s="70" t="s">
        <v>182</v>
      </c>
      <c r="C49" s="12"/>
      <c r="D49" s="68"/>
      <c r="E49" s="11" t="s">
        <v>183</v>
      </c>
      <c r="F49" s="150">
        <f>SUM(F45:F47)</f>
        <v>0</v>
      </c>
      <c r="G49" s="150">
        <f>SUM(G45:G47)</f>
        <v>0</v>
      </c>
      <c r="H49" s="150">
        <f>SUM(H45:H47)</f>
        <v>0</v>
      </c>
      <c r="I49" s="150">
        <f>SUM(I45:I47)</f>
        <v>0</v>
      </c>
      <c r="J49" s="14"/>
      <c r="N49" s="140">
        <v>17</v>
      </c>
      <c r="O49" s="139"/>
      <c r="P49" s="139" t="s">
        <v>717</v>
      </c>
      <c r="Q49" s="138" t="s">
        <v>707</v>
      </c>
    </row>
    <row r="50" spans="1:17" ht="15.75" thickTop="1" x14ac:dyDescent="0.25">
      <c r="A50" s="8"/>
      <c r="B50" s="3"/>
      <c r="C50" s="12"/>
      <c r="D50" s="11"/>
      <c r="E50" s="11"/>
      <c r="F50" s="12"/>
      <c r="G50" s="11"/>
      <c r="H50" s="11"/>
      <c r="I50" s="12"/>
      <c r="J50" s="14"/>
      <c r="N50" s="140">
        <v>18</v>
      </c>
      <c r="O50" s="139"/>
      <c r="P50" s="139" t="s">
        <v>716</v>
      </c>
      <c r="Q50" s="138" t="s">
        <v>708</v>
      </c>
    </row>
    <row r="51" spans="1:17" ht="15.75" thickBot="1" x14ac:dyDescent="0.3">
      <c r="A51" s="8"/>
      <c r="B51" s="9" t="s">
        <v>731</v>
      </c>
      <c r="C51" s="12"/>
      <c r="D51" s="17"/>
      <c r="E51" s="17"/>
      <c r="F51" s="17" t="s">
        <v>175</v>
      </c>
      <c r="G51" s="17" t="s">
        <v>176</v>
      </c>
      <c r="H51" s="17" t="s">
        <v>177</v>
      </c>
      <c r="I51" s="17" t="s">
        <v>178</v>
      </c>
      <c r="J51" s="14"/>
      <c r="N51" s="137">
        <v>19</v>
      </c>
      <c r="O51" s="136"/>
      <c r="P51" s="136" t="s">
        <v>715</v>
      </c>
      <c r="Q51" s="135" t="s">
        <v>709</v>
      </c>
    </row>
    <row r="52" spans="1:17" x14ac:dyDescent="0.25">
      <c r="A52" s="8"/>
      <c r="B52" s="15" t="s">
        <v>179</v>
      </c>
      <c r="C52" s="12"/>
      <c r="D52" s="68"/>
      <c r="E52" s="11"/>
      <c r="F52" s="69" t="str">
        <f>IF(General!$D$3 = "D20M++", IF(D52="","",(13*D52)+3), IF(D52="","",(16*D52)+3))</f>
        <v/>
      </c>
      <c r="G52" s="69" t="str">
        <f>IF(D52="","",(10*D52)+9)</f>
        <v/>
      </c>
      <c r="H52" s="69" t="str">
        <f>IF(D52="","",(5*D52)+(24*D52))</f>
        <v/>
      </c>
      <c r="I52" s="69" t="str">
        <f>IF(D52="","",D52)</f>
        <v/>
      </c>
      <c r="J52" s="14"/>
    </row>
    <row r="53" spans="1:17" x14ac:dyDescent="0.25">
      <c r="A53" s="8"/>
      <c r="B53" s="15" t="s">
        <v>180</v>
      </c>
      <c r="C53" s="12"/>
      <c r="D53" s="68"/>
      <c r="E53" s="11"/>
      <c r="F53" s="69" t="str">
        <f>IF(General!$D$3 = "D20M++", IF(D53="","",(13*D53)+3), IF(D53="","",(16*D53)+3))</f>
        <v/>
      </c>
      <c r="G53" s="69" t="str">
        <f>IF(D53="","",(10*D53)+9)</f>
        <v/>
      </c>
      <c r="H53" s="69" t="str">
        <f>IF(D53="","",(5*D53)+(21*D53))</f>
        <v/>
      </c>
      <c r="I53" s="69" t="str">
        <f>IF(D53="","",D53)</f>
        <v/>
      </c>
      <c r="J53" s="14"/>
    </row>
    <row r="54" spans="1:17" x14ac:dyDescent="0.25">
      <c r="A54" s="8"/>
      <c r="B54" s="15" t="s">
        <v>181</v>
      </c>
      <c r="C54" s="12"/>
      <c r="D54" s="68"/>
      <c r="E54" s="149"/>
      <c r="F54" s="69" t="str">
        <f>IF(General!$D$3 = "D20M++", IF(D54="","",(13*D54)+3+D55), IF(D54="","",(16*D54)+3+D55))</f>
        <v/>
      </c>
      <c r="G54" s="69" t="str">
        <f>IF(D54="","",(10*D54)+9)</f>
        <v/>
      </c>
      <c r="H54" s="69" t="str">
        <f>IF(D54="","",(5*D54)+(D56*D54))</f>
        <v/>
      </c>
      <c r="I54" s="69" t="str">
        <f>IF(D54="","",D54)</f>
        <v/>
      </c>
      <c r="J54" s="14"/>
    </row>
    <row r="55" spans="1:17" x14ac:dyDescent="0.25">
      <c r="A55" s="8"/>
      <c r="B55" s="55" t="s">
        <v>730</v>
      </c>
      <c r="C55" s="12"/>
      <c r="D55" s="68"/>
      <c r="E55" s="11"/>
      <c r="F55" s="148"/>
      <c r="G55" s="148"/>
      <c r="H55" s="148"/>
      <c r="I55" s="148"/>
      <c r="J55" s="14"/>
    </row>
    <row r="56" spans="1:17" ht="15.75" thickBot="1" x14ac:dyDescent="0.3">
      <c r="A56" s="8"/>
      <c r="B56" s="70" t="s">
        <v>182</v>
      </c>
      <c r="C56" s="12"/>
      <c r="D56" s="68"/>
      <c r="E56" s="11" t="s">
        <v>183</v>
      </c>
      <c r="F56" s="150">
        <f>SUM(F52:F54)</f>
        <v>0</v>
      </c>
      <c r="G56" s="150">
        <f>SUM(G52:G54)</f>
        <v>0</v>
      </c>
      <c r="H56" s="150">
        <f>SUM(H52:H54)</f>
        <v>0</v>
      </c>
      <c r="I56" s="150">
        <f>SUM(I52:I54)</f>
        <v>0</v>
      </c>
      <c r="J56" s="14"/>
    </row>
    <row r="57" spans="1:17" ht="15.75" thickTop="1" x14ac:dyDescent="0.25">
      <c r="A57" s="24"/>
      <c r="B57" s="25"/>
      <c r="C57" s="25"/>
      <c r="D57" s="71"/>
      <c r="E57" s="71"/>
      <c r="F57" s="25"/>
      <c r="G57" s="71"/>
      <c r="H57" s="71"/>
      <c r="I57" s="25"/>
      <c r="J57" s="28"/>
    </row>
  </sheetData>
  <mergeCells count="26">
    <mergeCell ref="D1:E1"/>
    <mergeCell ref="G1:H1"/>
    <mergeCell ref="D2:E2"/>
    <mergeCell ref="G2:H2"/>
    <mergeCell ref="D3:E3"/>
    <mergeCell ref="G3:H3"/>
    <mergeCell ref="J3:K3"/>
    <mergeCell ref="D6:E6"/>
    <mergeCell ref="G6:H6"/>
    <mergeCell ref="J6:K6"/>
    <mergeCell ref="D7:E7"/>
    <mergeCell ref="G7:H7"/>
    <mergeCell ref="J7:K7"/>
    <mergeCell ref="D4:E4"/>
    <mergeCell ref="J4:K4"/>
    <mergeCell ref="D8:E8"/>
    <mergeCell ref="G8:H8"/>
    <mergeCell ref="J8:K8"/>
    <mergeCell ref="D9:E9"/>
    <mergeCell ref="G9:H9"/>
    <mergeCell ref="J9:K9"/>
    <mergeCell ref="N31:Q31"/>
    <mergeCell ref="N9:Q9"/>
    <mergeCell ref="D12:E12"/>
    <mergeCell ref="G12:H12"/>
    <mergeCell ref="J12:K12"/>
  </mergeCells>
  <conditionalFormatting sqref="D6:E9 G6:H9 D12:E12 G12:H12 D17:D21">
    <cfRule type="expression" dxfId="5" priority="7">
      <formula>LEN($D$4)=2</formula>
    </cfRule>
  </conditionalFormatting>
  <conditionalFormatting sqref="D24:D28">
    <cfRule type="expression" dxfId="4" priority="6">
      <formula>LEN($D$4)=2</formula>
    </cfRule>
  </conditionalFormatting>
  <conditionalFormatting sqref="D31:D35">
    <cfRule type="expression" dxfId="3" priority="5">
      <formula>LEN($D$4)=2</formula>
    </cfRule>
  </conditionalFormatting>
  <conditionalFormatting sqref="D38:D42">
    <cfRule type="expression" dxfId="2" priority="4">
      <formula>LEN($D$4)=2</formula>
    </cfRule>
  </conditionalFormatting>
  <conditionalFormatting sqref="D45:D49">
    <cfRule type="expression" dxfId="1" priority="3">
      <formula>LEN($D$4)=2</formula>
    </cfRule>
  </conditionalFormatting>
  <conditionalFormatting sqref="D52:D56">
    <cfRule type="expression" dxfId="0" priority="1">
      <formula>LEN($D$4)=2</formula>
    </cfRule>
  </conditionalFormatting>
  <dataValidations count="1">
    <dataValidation type="list" allowBlank="1" showInputMessage="1" showErrorMessage="1" sqref="D4:E4" xr:uid="{00000000-0002-0000-0C00-000000000000}">
      <formula1>$P$1:$P$2</formula1>
    </dataValidation>
  </dataValidations>
  <pageMargins left="0.7" right="0.7" top="0.75" bottom="0.75" header="0.3" footer="0.3"/>
  <pageSetup paperSize="17"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9"/>
  <sheetViews>
    <sheetView workbookViewId="0"/>
  </sheetViews>
  <sheetFormatPr defaultColWidth="8.85546875" defaultRowHeight="15" x14ac:dyDescent="0.25"/>
  <cols>
    <col min="1" max="1" width="2.7109375" style="1" customWidth="1"/>
    <col min="2" max="2" width="36.7109375" style="1" bestFit="1" customWidth="1"/>
    <col min="3" max="3" width="2.85546875" style="1"/>
    <col min="4" max="4" width="37.7109375" style="1" customWidth="1"/>
    <col min="5" max="5" width="2.85546875" style="1"/>
    <col min="6" max="6" width="20.85546875" style="1" customWidth="1"/>
    <col min="7" max="7" width="2.85546875" style="1"/>
    <col min="8" max="8" width="78.7109375" style="1" customWidth="1"/>
    <col min="9" max="9" width="2.7109375" style="1" customWidth="1"/>
    <col min="10" max="16384" width="8.85546875" style="1"/>
  </cols>
  <sheetData>
    <row r="1" spans="1:26" ht="13.9" x14ac:dyDescent="0.25">
      <c r="A1" s="2"/>
      <c r="B1" s="3"/>
      <c r="C1" s="4"/>
      <c r="D1" s="5" t="s">
        <v>47</v>
      </c>
      <c r="E1" s="4"/>
      <c r="F1" s="5" t="s">
        <v>48</v>
      </c>
      <c r="G1" s="3"/>
      <c r="H1" s="6" t="s">
        <v>49</v>
      </c>
      <c r="I1" s="7"/>
      <c r="Z1" s="72" t="s">
        <v>205</v>
      </c>
    </row>
    <row r="2" spans="1:26" ht="13.9" x14ac:dyDescent="0.25">
      <c r="A2" s="8"/>
      <c r="B2" s="9" t="s">
        <v>188</v>
      </c>
      <c r="C2" s="12"/>
      <c r="D2" s="128" t="str">
        <f>General!D5</f>
        <v>Justin Bivins</v>
      </c>
      <c r="E2" s="17"/>
      <c r="F2" s="127" t="str">
        <f>General!F6</f>
        <v>Mike Liska</v>
      </c>
      <c r="G2" s="12"/>
      <c r="H2" s="46"/>
      <c r="I2" s="14"/>
    </row>
    <row r="3" spans="1:26" ht="75" x14ac:dyDescent="0.25">
      <c r="A3" s="8"/>
      <c r="B3" s="15" t="s">
        <v>189</v>
      </c>
      <c r="C3" s="12"/>
      <c r="D3" s="63"/>
      <c r="E3" s="17"/>
      <c r="F3" s="63"/>
      <c r="G3" s="12"/>
      <c r="H3" s="92" t="s">
        <v>742</v>
      </c>
      <c r="I3" s="14"/>
    </row>
    <row r="4" spans="1:26" ht="13.9" x14ac:dyDescent="0.25">
      <c r="A4" s="8"/>
      <c r="B4" s="65" t="s">
        <v>190</v>
      </c>
      <c r="C4" s="12"/>
      <c r="D4" s="46"/>
      <c r="E4" s="17"/>
      <c r="F4" s="17"/>
      <c r="G4" s="12"/>
      <c r="H4" s="46"/>
      <c r="I4" s="14"/>
    </row>
    <row r="5" spans="1:26" ht="13.9" x14ac:dyDescent="0.25">
      <c r="A5" s="8"/>
      <c r="B5" s="15" t="s">
        <v>191</v>
      </c>
      <c r="C5" s="12"/>
      <c r="D5" s="16"/>
      <c r="E5" s="74"/>
      <c r="F5" s="38"/>
      <c r="G5" s="12"/>
      <c r="H5" s="46"/>
      <c r="I5" s="14"/>
    </row>
    <row r="6" spans="1:26" ht="13.9" x14ac:dyDescent="0.25">
      <c r="A6" s="8"/>
      <c r="B6" s="15" t="s">
        <v>192</v>
      </c>
      <c r="C6" s="12"/>
      <c r="D6" s="35"/>
      <c r="E6" s="74"/>
      <c r="F6" s="38"/>
      <c r="G6" s="12"/>
      <c r="H6" s="46"/>
      <c r="I6" s="14"/>
    </row>
    <row r="7" spans="1:26" ht="13.9" x14ac:dyDescent="0.25">
      <c r="A7" s="8"/>
      <c r="B7" s="15" t="s">
        <v>193</v>
      </c>
      <c r="C7" s="12"/>
      <c r="D7" s="16"/>
      <c r="E7" s="17"/>
      <c r="F7" s="38"/>
      <c r="G7" s="12"/>
      <c r="H7" s="46"/>
      <c r="I7" s="14"/>
    </row>
    <row r="8" spans="1:26" ht="13.9" x14ac:dyDescent="0.25">
      <c r="A8" s="8"/>
      <c r="B8" s="65" t="s">
        <v>194</v>
      </c>
      <c r="C8" s="12"/>
      <c r="D8" s="46"/>
      <c r="E8" s="17"/>
      <c r="F8" s="17"/>
      <c r="G8" s="12"/>
      <c r="H8" s="46"/>
      <c r="I8" s="14"/>
    </row>
    <row r="9" spans="1:26" ht="13.9" x14ac:dyDescent="0.25">
      <c r="A9" s="8"/>
      <c r="B9" s="66" t="s">
        <v>195</v>
      </c>
      <c r="C9" s="12"/>
      <c r="D9" s="46"/>
      <c r="E9" s="17"/>
      <c r="F9" s="17"/>
      <c r="G9" s="12"/>
      <c r="H9" s="46"/>
      <c r="I9" s="14"/>
    </row>
    <row r="10" spans="1:26" ht="13.9" x14ac:dyDescent="0.25">
      <c r="A10" s="8"/>
      <c r="B10" s="55" t="s">
        <v>196</v>
      </c>
      <c r="C10" s="12"/>
      <c r="D10" s="16"/>
      <c r="E10" s="17"/>
      <c r="F10" s="38"/>
      <c r="G10" s="12"/>
      <c r="H10" s="73" t="b">
        <v>0</v>
      </c>
      <c r="I10" s="14"/>
    </row>
    <row r="11" spans="1:26" ht="13.9" x14ac:dyDescent="0.25">
      <c r="A11" s="8"/>
      <c r="B11" s="66" t="s">
        <v>197</v>
      </c>
      <c r="C11" s="12"/>
      <c r="D11" s="46"/>
      <c r="E11" s="17"/>
      <c r="F11" s="17"/>
      <c r="G11" s="12"/>
      <c r="H11" s="46"/>
      <c r="I11" s="14"/>
    </row>
    <row r="12" spans="1:26" ht="13.9" x14ac:dyDescent="0.25">
      <c r="A12" s="8"/>
      <c r="B12" s="55" t="s">
        <v>198</v>
      </c>
      <c r="C12" s="12"/>
      <c r="D12" s="16"/>
      <c r="E12" s="17"/>
      <c r="F12" s="38"/>
      <c r="G12" s="12"/>
      <c r="H12" s="73" t="b">
        <v>0</v>
      </c>
      <c r="I12" s="14"/>
    </row>
    <row r="13" spans="1:26" ht="13.9" x14ac:dyDescent="0.25">
      <c r="A13" s="8"/>
      <c r="B13" s="55" t="s">
        <v>199</v>
      </c>
      <c r="C13" s="12"/>
      <c r="D13" s="16"/>
      <c r="E13" s="17"/>
      <c r="F13" s="38"/>
      <c r="G13" s="12"/>
      <c r="H13" s="73" t="b">
        <v>0</v>
      </c>
      <c r="I13" s="14"/>
    </row>
    <row r="14" spans="1:26" ht="13.9" x14ac:dyDescent="0.25">
      <c r="A14" s="8"/>
      <c r="B14" s="55" t="s">
        <v>200</v>
      </c>
      <c r="C14" s="12"/>
      <c r="D14" s="16"/>
      <c r="E14" s="17"/>
      <c r="F14" s="38"/>
      <c r="G14" s="12"/>
      <c r="H14" s="73">
        <v>1</v>
      </c>
      <c r="I14" s="14"/>
    </row>
    <row r="15" spans="1:26" ht="13.9" x14ac:dyDescent="0.25">
      <c r="A15" s="8"/>
      <c r="B15" s="55" t="s">
        <v>201</v>
      </c>
      <c r="C15" s="12"/>
      <c r="D15" s="16"/>
      <c r="E15" s="17"/>
      <c r="F15" s="38"/>
      <c r="G15" s="12"/>
      <c r="H15" s="73">
        <v>2</v>
      </c>
      <c r="I15" s="14"/>
    </row>
    <row r="16" spans="1:26" ht="13.9" x14ac:dyDescent="0.25">
      <c r="A16" s="8"/>
      <c r="B16" s="55" t="s">
        <v>202</v>
      </c>
      <c r="C16" s="12"/>
      <c r="D16" s="16"/>
      <c r="E16" s="17"/>
      <c r="F16" s="38"/>
      <c r="G16" s="12"/>
      <c r="H16" s="73">
        <v>3</v>
      </c>
      <c r="I16" s="14"/>
    </row>
    <row r="17" spans="1:9" ht="13.9" x14ac:dyDescent="0.25">
      <c r="A17" s="8"/>
      <c r="B17" s="55" t="s">
        <v>203</v>
      </c>
      <c r="C17" s="12"/>
      <c r="D17" s="16"/>
      <c r="E17" s="17"/>
      <c r="F17" s="38"/>
      <c r="G17" s="12"/>
      <c r="H17" s="73">
        <v>4</v>
      </c>
      <c r="I17" s="14"/>
    </row>
    <row r="18" spans="1:9" ht="13.9" x14ac:dyDescent="0.25">
      <c r="A18" s="8"/>
      <c r="B18" s="70" t="s">
        <v>204</v>
      </c>
      <c r="C18" s="12"/>
      <c r="D18" s="16"/>
      <c r="E18" s="17"/>
      <c r="F18" s="38"/>
      <c r="G18" s="12"/>
      <c r="H18" s="73">
        <v>5</v>
      </c>
      <c r="I18" s="14"/>
    </row>
    <row r="19" spans="1:9" ht="13.9" x14ac:dyDescent="0.25">
      <c r="A19" s="24"/>
      <c r="B19" s="25"/>
      <c r="C19" s="25"/>
      <c r="D19" s="26"/>
      <c r="E19" s="25"/>
      <c r="F19" s="25"/>
      <c r="G19" s="25"/>
      <c r="H19" s="27"/>
      <c r="I19" s="2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29"/>
  <sheetViews>
    <sheetView workbookViewId="0"/>
  </sheetViews>
  <sheetFormatPr defaultColWidth="8.85546875" defaultRowHeight="15" x14ac:dyDescent="0.25"/>
  <cols>
    <col min="1" max="1" width="2.7109375" style="1" customWidth="1"/>
    <col min="2" max="2" width="39.7109375" style="1" bestFit="1" customWidth="1"/>
    <col min="3" max="3" width="2.85546875" style="1"/>
    <col min="4" max="4" width="23.85546875" style="1" bestFit="1" customWidth="1"/>
    <col min="5" max="5" width="2.85546875" style="1"/>
    <col min="6" max="6" width="28.5703125" style="1" customWidth="1"/>
    <col min="7" max="7" width="2.85546875" style="1"/>
    <col min="8" max="8" width="44.85546875" style="1" customWidth="1"/>
    <col min="9" max="9" width="2.7109375" style="1" customWidth="1"/>
    <col min="10" max="16384" width="8.85546875" style="1"/>
  </cols>
  <sheetData>
    <row r="1" spans="1:9" ht="13.9" x14ac:dyDescent="0.25">
      <c r="A1" s="2"/>
      <c r="B1" s="29"/>
      <c r="C1" s="3"/>
      <c r="D1" s="30" t="s">
        <v>47</v>
      </c>
      <c r="E1" s="3"/>
      <c r="F1" s="30" t="s">
        <v>48</v>
      </c>
      <c r="G1" s="3"/>
      <c r="H1" s="6" t="s">
        <v>49</v>
      </c>
      <c r="I1" s="7"/>
    </row>
    <row r="2" spans="1:9" ht="13.9" x14ac:dyDescent="0.25">
      <c r="A2" s="8"/>
      <c r="B2" s="31" t="s">
        <v>206</v>
      </c>
      <c r="C2" s="12"/>
      <c r="D2" s="11" t="str">
        <f>General!D5</f>
        <v>Justin Bivins</v>
      </c>
      <c r="E2" s="12"/>
      <c r="F2" s="11" t="str">
        <f>General!F6</f>
        <v>Mike Liska</v>
      </c>
      <c r="G2" s="12"/>
      <c r="H2" s="4"/>
      <c r="I2" s="14"/>
    </row>
    <row r="3" spans="1:9" ht="27.6" x14ac:dyDescent="0.25">
      <c r="A3" s="32"/>
      <c r="B3" s="33" t="s">
        <v>207</v>
      </c>
      <c r="C3" s="34"/>
      <c r="D3" s="35"/>
      <c r="E3" s="17"/>
      <c r="F3" s="36"/>
      <c r="G3" s="34"/>
      <c r="H3" s="20" t="s">
        <v>208</v>
      </c>
      <c r="I3" s="37"/>
    </row>
    <row r="4" spans="1:9" ht="27.6" x14ac:dyDescent="0.25">
      <c r="A4" s="32"/>
      <c r="B4" s="39" t="s">
        <v>209</v>
      </c>
      <c r="C4" s="34"/>
      <c r="D4" s="16"/>
      <c r="E4" s="17"/>
      <c r="F4" s="38"/>
      <c r="G4" s="34"/>
      <c r="H4" s="20" t="s">
        <v>210</v>
      </c>
      <c r="I4" s="37"/>
    </row>
    <row r="5" spans="1:9" ht="13.9" x14ac:dyDescent="0.25">
      <c r="A5" s="8"/>
      <c r="B5" s="40"/>
      <c r="C5" s="12"/>
      <c r="D5" s="46"/>
      <c r="E5" s="17"/>
      <c r="F5" s="17"/>
      <c r="G5" s="12"/>
      <c r="H5" s="4"/>
      <c r="I5" s="14"/>
    </row>
    <row r="6" spans="1:9" ht="13.9" x14ac:dyDescent="0.25">
      <c r="A6" s="8"/>
      <c r="B6" s="47" t="s">
        <v>211</v>
      </c>
      <c r="C6" s="12"/>
      <c r="D6" s="46"/>
      <c r="E6" s="17"/>
      <c r="F6" s="17"/>
      <c r="G6" s="12"/>
      <c r="H6" s="4"/>
      <c r="I6" s="14"/>
    </row>
    <row r="7" spans="1:9" ht="13.9" x14ac:dyDescent="0.25">
      <c r="A7" s="8"/>
      <c r="B7" s="65" t="s">
        <v>212</v>
      </c>
      <c r="C7" s="12"/>
      <c r="D7" s="46"/>
      <c r="E7" s="17"/>
      <c r="F7" s="17"/>
      <c r="G7" s="12"/>
      <c r="H7" s="4"/>
      <c r="I7" s="14"/>
    </row>
    <row r="8" spans="1:9" ht="14.45" x14ac:dyDescent="0.3">
      <c r="A8" s="8"/>
      <c r="B8" s="54" t="s">
        <v>213</v>
      </c>
      <c r="C8" s="12"/>
      <c r="D8" s="46"/>
      <c r="E8" s="17"/>
      <c r="F8" s="17"/>
      <c r="G8" s="12"/>
      <c r="H8" s="4"/>
      <c r="I8" s="14"/>
    </row>
    <row r="9" spans="1:9" ht="13.9" x14ac:dyDescent="0.25">
      <c r="A9" s="8"/>
      <c r="B9" s="55" t="s">
        <v>214</v>
      </c>
      <c r="C9" s="12"/>
      <c r="D9" s="35"/>
      <c r="E9" s="17"/>
      <c r="F9" s="38"/>
      <c r="G9" s="12"/>
      <c r="H9" s="64" t="s">
        <v>215</v>
      </c>
      <c r="I9" s="14"/>
    </row>
    <row r="10" spans="1:9" ht="13.9" x14ac:dyDescent="0.25">
      <c r="A10" s="8"/>
      <c r="B10" s="55" t="s">
        <v>216</v>
      </c>
      <c r="C10" s="12"/>
      <c r="D10" s="35"/>
      <c r="E10" s="17"/>
      <c r="F10" s="38"/>
      <c r="G10" s="12"/>
      <c r="H10" s="4"/>
      <c r="I10" s="14"/>
    </row>
    <row r="11" spans="1:9" ht="13.9" x14ac:dyDescent="0.25">
      <c r="A11" s="8"/>
      <c r="B11" s="55" t="s">
        <v>217</v>
      </c>
      <c r="C11" s="12"/>
      <c r="D11" s="35"/>
      <c r="E11" s="17"/>
      <c r="F11" s="38"/>
      <c r="G11" s="12"/>
      <c r="H11" s="64" t="s">
        <v>218</v>
      </c>
      <c r="I11" s="14"/>
    </row>
    <row r="12" spans="1:9" ht="13.9" x14ac:dyDescent="0.25">
      <c r="A12" s="8"/>
      <c r="B12" s="55" t="s">
        <v>640</v>
      </c>
      <c r="C12" s="12"/>
      <c r="D12" s="35"/>
      <c r="E12" s="17"/>
      <c r="F12" s="38"/>
      <c r="G12" s="12"/>
      <c r="H12" s="64" t="s">
        <v>649</v>
      </c>
      <c r="I12" s="14"/>
    </row>
    <row r="13" spans="1:9" ht="13.9" x14ac:dyDescent="0.25">
      <c r="A13" s="8"/>
      <c r="B13" s="55" t="s">
        <v>641</v>
      </c>
      <c r="C13" s="12"/>
      <c r="D13" s="35"/>
      <c r="E13" s="17"/>
      <c r="F13" s="38"/>
      <c r="G13" s="12"/>
      <c r="H13" s="64" t="s">
        <v>650</v>
      </c>
      <c r="I13" s="14"/>
    </row>
    <row r="14" spans="1:9" ht="13.9" x14ac:dyDescent="0.25">
      <c r="A14" s="8"/>
      <c r="B14" s="55" t="s">
        <v>219</v>
      </c>
      <c r="C14" s="12"/>
      <c r="D14" s="35"/>
      <c r="E14" s="17"/>
      <c r="F14" s="38"/>
      <c r="G14" s="12"/>
      <c r="H14" s="64" t="s">
        <v>220</v>
      </c>
      <c r="I14" s="14"/>
    </row>
    <row r="15" spans="1:9" ht="14.45" x14ac:dyDescent="0.3">
      <c r="A15" s="8"/>
      <c r="B15" s="54" t="s">
        <v>221</v>
      </c>
      <c r="C15" s="12"/>
      <c r="D15" s="46"/>
      <c r="E15" s="17"/>
      <c r="F15" s="75"/>
      <c r="G15" s="12"/>
      <c r="H15" s="4"/>
      <c r="I15" s="14"/>
    </row>
    <row r="16" spans="1:9" ht="13.9" x14ac:dyDescent="0.25">
      <c r="A16" s="8"/>
      <c r="B16" s="55" t="s">
        <v>222</v>
      </c>
      <c r="C16" s="12"/>
      <c r="D16" s="35"/>
      <c r="E16" s="17"/>
      <c r="F16" s="38"/>
      <c r="G16" s="12"/>
      <c r="H16" s="64" t="s">
        <v>223</v>
      </c>
      <c r="I16" s="14"/>
    </row>
    <row r="17" spans="1:9" ht="13.9" x14ac:dyDescent="0.25">
      <c r="A17" s="8"/>
      <c r="B17" s="55" t="s">
        <v>224</v>
      </c>
      <c r="C17" s="12"/>
      <c r="D17" s="35"/>
      <c r="E17" s="17"/>
      <c r="F17" s="38"/>
      <c r="G17" s="12"/>
      <c r="H17" s="64" t="s">
        <v>223</v>
      </c>
      <c r="I17" s="14"/>
    </row>
    <row r="18" spans="1:9" ht="14.45" x14ac:dyDescent="0.3">
      <c r="A18" s="8"/>
      <c r="B18" s="54" t="s">
        <v>225</v>
      </c>
      <c r="C18" s="12"/>
      <c r="D18" s="46"/>
      <c r="E18" s="17"/>
      <c r="F18" s="75"/>
      <c r="G18" s="12"/>
      <c r="H18" s="4"/>
      <c r="I18" s="14"/>
    </row>
    <row r="19" spans="1:9" ht="13.9" x14ac:dyDescent="0.25">
      <c r="A19" s="8"/>
      <c r="B19" s="76" t="s">
        <v>226</v>
      </c>
      <c r="C19" s="12"/>
      <c r="D19" s="35"/>
      <c r="E19" s="17"/>
      <c r="F19" s="63"/>
      <c r="G19" s="12"/>
      <c r="H19" s="64">
        <v>5000</v>
      </c>
      <c r="I19" s="14"/>
    </row>
    <row r="20" spans="1:9" ht="13.9" x14ac:dyDescent="0.25">
      <c r="A20" s="8"/>
      <c r="B20" s="76" t="s">
        <v>227</v>
      </c>
      <c r="C20" s="12"/>
      <c r="D20" s="35"/>
      <c r="E20" s="17"/>
      <c r="F20" s="63"/>
      <c r="G20" s="12"/>
      <c r="H20" s="64">
        <v>0</v>
      </c>
      <c r="I20" s="14"/>
    </row>
    <row r="21" spans="1:9" ht="13.9" x14ac:dyDescent="0.25">
      <c r="A21" s="8"/>
      <c r="B21" s="76" t="s">
        <v>228</v>
      </c>
      <c r="C21" s="12"/>
      <c r="D21" s="35"/>
      <c r="E21" s="17"/>
      <c r="F21" s="63"/>
      <c r="G21" s="12"/>
      <c r="H21" s="64">
        <v>2000</v>
      </c>
      <c r="I21" s="14"/>
    </row>
    <row r="22" spans="1:9" ht="13.9" x14ac:dyDescent="0.25">
      <c r="A22" s="8"/>
      <c r="B22" s="76" t="s">
        <v>229</v>
      </c>
      <c r="C22" s="12"/>
      <c r="D22" s="35"/>
      <c r="E22" s="17"/>
      <c r="F22" s="38"/>
      <c r="G22" s="12"/>
      <c r="H22" s="64">
        <v>3</v>
      </c>
      <c r="I22" s="14"/>
    </row>
    <row r="23" spans="1:9" ht="14.45" x14ac:dyDescent="0.3">
      <c r="A23" s="8"/>
      <c r="B23" s="77" t="s">
        <v>230</v>
      </c>
      <c r="C23" s="12"/>
      <c r="D23" s="46"/>
      <c r="E23" s="17"/>
      <c r="F23" s="17"/>
      <c r="G23" s="12"/>
      <c r="H23" s="4"/>
      <c r="I23" s="14"/>
    </row>
    <row r="24" spans="1:9" ht="13.9" x14ac:dyDescent="0.25">
      <c r="A24" s="8"/>
      <c r="B24" s="76" t="s">
        <v>231</v>
      </c>
      <c r="C24" s="12"/>
      <c r="D24" s="35"/>
      <c r="E24" s="17"/>
      <c r="F24" s="63"/>
      <c r="G24" s="12"/>
      <c r="H24" s="64" t="s">
        <v>232</v>
      </c>
      <c r="I24" s="14"/>
    </row>
    <row r="25" spans="1:9" ht="13.9" x14ac:dyDescent="0.25">
      <c r="A25" s="8"/>
      <c r="B25" s="65" t="s">
        <v>197</v>
      </c>
      <c r="C25" s="12"/>
      <c r="D25" s="46"/>
      <c r="E25" s="17"/>
      <c r="F25" s="17"/>
      <c r="G25" s="12"/>
      <c r="H25" s="4"/>
      <c r="I25" s="14"/>
    </row>
    <row r="26" spans="1:9" ht="13.9" x14ac:dyDescent="0.25">
      <c r="A26" s="8"/>
      <c r="B26" s="76" t="s">
        <v>233</v>
      </c>
      <c r="C26" s="12"/>
      <c r="D26" s="35"/>
      <c r="E26" s="17"/>
      <c r="F26" s="38"/>
      <c r="G26" s="12"/>
      <c r="H26" s="64" t="s">
        <v>234</v>
      </c>
      <c r="I26" s="14"/>
    </row>
    <row r="27" spans="1:9" ht="13.9" x14ac:dyDescent="0.25">
      <c r="A27" s="8"/>
      <c r="B27" s="65" t="s">
        <v>235</v>
      </c>
      <c r="C27" s="12"/>
      <c r="D27" s="46"/>
      <c r="E27" s="17"/>
      <c r="F27" s="17"/>
      <c r="G27" s="12"/>
      <c r="H27" s="4"/>
      <c r="I27" s="14"/>
    </row>
    <row r="28" spans="1:9" ht="41.45" x14ac:dyDescent="0.25">
      <c r="A28" s="8"/>
      <c r="B28" s="70" t="s">
        <v>236</v>
      </c>
      <c r="C28" s="12"/>
      <c r="D28" s="35"/>
      <c r="E28" s="17"/>
      <c r="F28" s="38"/>
      <c r="G28" s="12"/>
      <c r="H28" s="78" t="s">
        <v>237</v>
      </c>
      <c r="I28" s="14"/>
    </row>
    <row r="29" spans="1:9" ht="13.9" x14ac:dyDescent="0.25">
      <c r="A29" s="24"/>
      <c r="B29" s="42"/>
      <c r="C29" s="25"/>
      <c r="D29" s="52"/>
      <c r="E29" s="25"/>
      <c r="F29" s="25"/>
      <c r="G29" s="25"/>
      <c r="H29" s="53"/>
      <c r="I29" s="28"/>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I18"/>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9" ht="13.9" x14ac:dyDescent="0.25">
      <c r="A1" s="2"/>
      <c r="B1" s="3"/>
      <c r="C1" s="3"/>
      <c r="D1" s="30" t="s">
        <v>47</v>
      </c>
      <c r="E1" s="3"/>
      <c r="F1" s="30" t="s">
        <v>48</v>
      </c>
      <c r="G1" s="3"/>
      <c r="H1" s="6" t="s">
        <v>49</v>
      </c>
      <c r="I1" s="7"/>
    </row>
    <row r="2" spans="1:9" ht="13.9" x14ac:dyDescent="0.25">
      <c r="A2" s="8"/>
      <c r="B2" s="9" t="s">
        <v>238</v>
      </c>
      <c r="C2" s="12"/>
      <c r="D2" s="11" t="str">
        <f>General!D5</f>
        <v>Justin Bivins</v>
      </c>
      <c r="E2" s="12"/>
      <c r="F2" s="11" t="str">
        <f>General!F6</f>
        <v>Mike Liska</v>
      </c>
      <c r="G2" s="12"/>
      <c r="H2" s="4"/>
      <c r="I2" s="14"/>
    </row>
    <row r="3" spans="1:9" ht="13.9" x14ac:dyDescent="0.25">
      <c r="A3" s="8"/>
      <c r="B3" s="15" t="s">
        <v>239</v>
      </c>
      <c r="C3" s="34"/>
      <c r="D3" s="35"/>
      <c r="E3" s="17"/>
      <c r="F3" s="38"/>
      <c r="G3" s="12"/>
      <c r="H3" s="20" t="s">
        <v>732</v>
      </c>
      <c r="I3" s="14"/>
    </row>
    <row r="4" spans="1:9" ht="13.9" x14ac:dyDescent="0.25">
      <c r="A4" s="8"/>
      <c r="B4" s="23" t="s">
        <v>209</v>
      </c>
      <c r="C4" s="34"/>
      <c r="D4" s="35"/>
      <c r="E4" s="17"/>
      <c r="F4" s="38"/>
      <c r="G4" s="12"/>
      <c r="H4" s="20" t="s">
        <v>240</v>
      </c>
      <c r="I4" s="14"/>
    </row>
    <row r="5" spans="1:9" ht="13.9" x14ac:dyDescent="0.25">
      <c r="A5" s="8"/>
      <c r="B5" s="12"/>
      <c r="C5" s="12"/>
      <c r="D5" s="46"/>
      <c r="E5" s="17"/>
      <c r="F5" s="17"/>
      <c r="G5" s="12"/>
      <c r="H5" s="4"/>
      <c r="I5" s="14"/>
    </row>
    <row r="6" spans="1:9" ht="13.9" x14ac:dyDescent="0.25">
      <c r="A6" s="8"/>
      <c r="B6" s="79" t="s">
        <v>241</v>
      </c>
      <c r="C6" s="12"/>
      <c r="D6" s="46"/>
      <c r="E6" s="17"/>
      <c r="F6" s="17"/>
      <c r="G6" s="12"/>
      <c r="H6" s="4"/>
      <c r="I6" s="14"/>
    </row>
    <row r="7" spans="1:9" ht="13.9" x14ac:dyDescent="0.25">
      <c r="A7" s="8"/>
      <c r="B7" s="66" t="s">
        <v>212</v>
      </c>
      <c r="C7" s="12"/>
      <c r="D7" s="46"/>
      <c r="E7" s="17"/>
      <c r="F7" s="17"/>
      <c r="G7" s="12"/>
      <c r="H7" s="4"/>
      <c r="I7" s="14"/>
    </row>
    <row r="8" spans="1:9" ht="14.45" x14ac:dyDescent="0.3">
      <c r="A8" s="8"/>
      <c r="B8" s="80" t="s">
        <v>213</v>
      </c>
      <c r="C8" s="12"/>
      <c r="D8" s="46"/>
      <c r="E8" s="17"/>
      <c r="F8" s="17"/>
      <c r="G8" s="12"/>
      <c r="H8" s="4"/>
      <c r="I8" s="14"/>
    </row>
    <row r="9" spans="1:9" ht="13.9" x14ac:dyDescent="0.25">
      <c r="A9" s="8"/>
      <c r="B9" s="81" t="s">
        <v>242</v>
      </c>
      <c r="C9" s="12"/>
      <c r="D9" s="35"/>
      <c r="E9" s="17"/>
      <c r="F9" s="38"/>
      <c r="G9" s="12"/>
      <c r="H9" s="64" t="s">
        <v>243</v>
      </c>
      <c r="I9" s="14"/>
    </row>
    <row r="10" spans="1:9" ht="27.6" x14ac:dyDescent="0.25">
      <c r="A10" s="8"/>
      <c r="B10" s="82" t="s">
        <v>217</v>
      </c>
      <c r="C10" s="12"/>
      <c r="D10" s="35"/>
      <c r="E10" s="17"/>
      <c r="F10" s="38"/>
      <c r="G10" s="34"/>
      <c r="H10" s="20" t="s">
        <v>733</v>
      </c>
      <c r="I10" s="14"/>
    </row>
    <row r="11" spans="1:9" ht="14.45" x14ac:dyDescent="0.3">
      <c r="A11" s="8"/>
      <c r="B11" s="80" t="s">
        <v>221</v>
      </c>
      <c r="C11" s="12"/>
      <c r="D11" s="46"/>
      <c r="E11" s="17"/>
      <c r="F11" s="75"/>
      <c r="G11" s="12"/>
      <c r="H11" s="4"/>
      <c r="I11" s="14"/>
    </row>
    <row r="12" spans="1:9" ht="13.9" x14ac:dyDescent="0.25">
      <c r="A12" s="8"/>
      <c r="B12" s="81" t="s">
        <v>222</v>
      </c>
      <c r="C12" s="12"/>
      <c r="D12" s="35"/>
      <c r="E12" s="17"/>
      <c r="F12" s="63"/>
      <c r="G12" s="12"/>
      <c r="H12" s="64" t="s">
        <v>223</v>
      </c>
      <c r="I12" s="14"/>
    </row>
    <row r="13" spans="1:9" ht="13.9" x14ac:dyDescent="0.25">
      <c r="A13" s="8"/>
      <c r="B13" s="81" t="s">
        <v>224</v>
      </c>
      <c r="C13" s="12"/>
      <c r="D13" s="35"/>
      <c r="E13" s="17"/>
      <c r="F13" s="63"/>
      <c r="G13" s="12"/>
      <c r="H13" s="64" t="s">
        <v>223</v>
      </c>
      <c r="I13" s="14"/>
    </row>
    <row r="14" spans="1:9" ht="13.9" x14ac:dyDescent="0.25">
      <c r="A14" s="8"/>
      <c r="B14" s="81" t="s">
        <v>244</v>
      </c>
      <c r="C14" s="12"/>
      <c r="D14" s="35"/>
      <c r="E14" s="17"/>
      <c r="F14" s="63"/>
      <c r="G14" s="12"/>
      <c r="H14" s="64" t="b">
        <v>0</v>
      </c>
      <c r="I14" s="14"/>
    </row>
    <row r="15" spans="1:9" ht="13.9" x14ac:dyDescent="0.25">
      <c r="A15" s="8"/>
      <c r="B15" s="81" t="s">
        <v>245</v>
      </c>
      <c r="C15" s="12"/>
      <c r="D15" s="63"/>
      <c r="E15" s="17"/>
      <c r="F15" s="63"/>
      <c r="G15" s="12"/>
      <c r="H15" s="64" t="s">
        <v>246</v>
      </c>
      <c r="I15" s="14"/>
    </row>
    <row r="16" spans="1:9" ht="13.9" x14ac:dyDescent="0.25">
      <c r="A16" s="8"/>
      <c r="B16" s="81" t="s">
        <v>247</v>
      </c>
      <c r="C16" s="12"/>
      <c r="D16" s="63"/>
      <c r="E16" s="17"/>
      <c r="F16" s="63"/>
      <c r="G16" s="12"/>
      <c r="H16" s="4"/>
      <c r="I16" s="14"/>
    </row>
    <row r="17" spans="1:9" ht="13.9" x14ac:dyDescent="0.25">
      <c r="A17" s="8"/>
      <c r="B17" s="83" t="s">
        <v>248</v>
      </c>
      <c r="C17" s="12"/>
      <c r="D17" s="84"/>
      <c r="E17" s="17"/>
      <c r="F17" s="63"/>
      <c r="G17" s="12"/>
      <c r="H17" s="64" t="b">
        <v>0</v>
      </c>
      <c r="I17" s="14"/>
    </row>
    <row r="18" spans="1:9" ht="13.9" x14ac:dyDescent="0.25">
      <c r="A18" s="24"/>
      <c r="B18" s="25"/>
      <c r="C18" s="25"/>
      <c r="D18" s="52"/>
      <c r="E18" s="25"/>
      <c r="F18" s="25"/>
      <c r="G18" s="25"/>
      <c r="H18" s="53"/>
      <c r="I18" s="28"/>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I10"/>
  <sheetViews>
    <sheetView workbookViewId="0"/>
  </sheetViews>
  <sheetFormatPr defaultColWidth="8.85546875" defaultRowHeight="15" x14ac:dyDescent="0.25"/>
  <cols>
    <col min="1" max="1" width="2.7109375" style="1" customWidth="1"/>
    <col min="2" max="2" width="22.5703125" style="1" bestFit="1" customWidth="1"/>
    <col min="3" max="3" width="2.85546875" style="1"/>
    <col min="4" max="4" width="27.5703125" style="1" customWidth="1"/>
    <col min="5" max="5" width="2.85546875" style="1"/>
    <col min="6" max="6" width="28.5703125" style="1" customWidth="1"/>
    <col min="7" max="7" width="2.7109375" style="1" customWidth="1"/>
    <col min="8" max="8" width="24.140625" style="1" customWidth="1"/>
    <col min="9" max="9" width="2.7109375" style="1" customWidth="1"/>
    <col min="10" max="16384" width="8.85546875" style="1"/>
  </cols>
  <sheetData>
    <row r="1" spans="1:9" x14ac:dyDescent="0.25">
      <c r="A1" s="2"/>
      <c r="B1" s="3"/>
      <c r="C1" s="3"/>
      <c r="D1" s="30" t="s">
        <v>47</v>
      </c>
      <c r="E1" s="3"/>
      <c r="F1" s="30" t="s">
        <v>48</v>
      </c>
      <c r="G1" s="3"/>
      <c r="H1" s="6" t="s">
        <v>49</v>
      </c>
      <c r="I1" s="7"/>
    </row>
    <row r="2" spans="1:9" x14ac:dyDescent="0.25">
      <c r="A2" s="8"/>
      <c r="B2" s="9" t="s">
        <v>249</v>
      </c>
      <c r="C2" s="12"/>
      <c r="D2" s="11" t="str">
        <f>General!D5</f>
        <v>Justin Bivins</v>
      </c>
      <c r="E2" s="12"/>
      <c r="F2" s="11" t="str">
        <f>General!F6</f>
        <v>Mike Liska</v>
      </c>
      <c r="G2" s="12"/>
      <c r="H2" s="4"/>
      <c r="I2" s="14"/>
    </row>
    <row r="3" spans="1:9" x14ac:dyDescent="0.25">
      <c r="A3" s="8"/>
      <c r="B3" s="15" t="s">
        <v>250</v>
      </c>
      <c r="C3" s="12"/>
      <c r="D3" s="35"/>
      <c r="E3" s="17"/>
      <c r="F3" s="35"/>
      <c r="G3" s="12"/>
      <c r="H3" s="4"/>
      <c r="I3" s="14"/>
    </row>
    <row r="4" spans="1:9" x14ac:dyDescent="0.25">
      <c r="A4" s="8"/>
      <c r="B4" s="85" t="s">
        <v>251</v>
      </c>
      <c r="C4" s="12"/>
      <c r="D4" s="17"/>
      <c r="E4" s="17"/>
      <c r="F4" s="17"/>
      <c r="G4" s="12"/>
      <c r="H4" s="4"/>
      <c r="I4" s="14"/>
    </row>
    <row r="5" spans="1:9" x14ac:dyDescent="0.25">
      <c r="A5" s="8"/>
      <c r="B5" s="15" t="s">
        <v>252</v>
      </c>
      <c r="C5" s="12"/>
      <c r="D5" s="63"/>
      <c r="E5" s="17"/>
      <c r="F5" s="63"/>
      <c r="G5" s="12"/>
      <c r="H5" s="20">
        <v>2</v>
      </c>
      <c r="I5" s="14"/>
    </row>
    <row r="6" spans="1:9" x14ac:dyDescent="0.25">
      <c r="A6" s="8"/>
      <c r="B6" s="15" t="s">
        <v>253</v>
      </c>
      <c r="C6" s="12"/>
      <c r="D6" s="63"/>
      <c r="E6" s="17"/>
      <c r="F6" s="63"/>
      <c r="G6" s="12"/>
      <c r="H6" s="20">
        <v>2</v>
      </c>
      <c r="I6" s="14"/>
    </row>
    <row r="7" spans="1:9" x14ac:dyDescent="0.25">
      <c r="A7" s="8"/>
      <c r="B7" s="85" t="s">
        <v>254</v>
      </c>
      <c r="C7" s="12"/>
      <c r="D7" s="17"/>
      <c r="E7" s="17"/>
      <c r="F7" s="17"/>
      <c r="G7" s="12"/>
      <c r="H7" s="4"/>
      <c r="I7" s="14"/>
    </row>
    <row r="8" spans="1:9" x14ac:dyDescent="0.25">
      <c r="A8" s="8"/>
      <c r="B8" s="15" t="s">
        <v>255</v>
      </c>
      <c r="C8" s="12"/>
      <c r="D8" s="63"/>
      <c r="E8" s="17"/>
      <c r="F8" s="63"/>
      <c r="G8" s="12"/>
      <c r="H8" s="20">
        <v>2</v>
      </c>
      <c r="I8" s="14"/>
    </row>
    <row r="9" spans="1:9" x14ac:dyDescent="0.25">
      <c r="A9" s="8"/>
      <c r="B9" s="23" t="s">
        <v>256</v>
      </c>
      <c r="C9" s="12"/>
      <c r="D9" s="63"/>
      <c r="E9" s="17"/>
      <c r="F9" s="63"/>
      <c r="G9" s="12"/>
      <c r="H9" s="20">
        <v>2</v>
      </c>
      <c r="I9" s="14"/>
    </row>
    <row r="10" spans="1:9" x14ac:dyDescent="0.25">
      <c r="A10" s="24"/>
      <c r="B10" s="25"/>
      <c r="C10" s="25"/>
      <c r="D10" s="52"/>
      <c r="E10" s="25"/>
      <c r="F10" s="25"/>
      <c r="G10" s="25"/>
      <c r="H10" s="25"/>
      <c r="I10" s="2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I10"/>
  <sheetViews>
    <sheetView workbookViewId="0"/>
  </sheetViews>
  <sheetFormatPr defaultColWidth="8.85546875" defaultRowHeight="15" x14ac:dyDescent="0.25"/>
  <cols>
    <col min="1" max="1" width="2.7109375" style="1" customWidth="1"/>
    <col min="2" max="2" width="36"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4.85546875" style="1" customWidth="1"/>
    <col min="9" max="9" width="2.7109375" style="1" customWidth="1"/>
    <col min="10" max="16384" width="8.85546875" style="1"/>
  </cols>
  <sheetData>
    <row r="1" spans="1:9" ht="13.9" x14ac:dyDescent="0.25">
      <c r="A1" s="2"/>
      <c r="B1" s="3"/>
      <c r="C1" s="3"/>
      <c r="D1" s="30" t="s">
        <v>47</v>
      </c>
      <c r="E1" s="3"/>
      <c r="F1" s="30" t="s">
        <v>48</v>
      </c>
      <c r="G1" s="3"/>
      <c r="H1" s="6" t="s">
        <v>49</v>
      </c>
      <c r="I1" s="7"/>
    </row>
    <row r="2" spans="1:9" ht="13.9" x14ac:dyDescent="0.25">
      <c r="A2" s="8"/>
      <c r="B2" s="9" t="s">
        <v>257</v>
      </c>
      <c r="C2" s="12"/>
      <c r="D2" s="11" t="str">
        <f>General!D5</f>
        <v>Justin Bivins</v>
      </c>
      <c r="E2" s="12"/>
      <c r="F2" s="11" t="str">
        <f>General!F6</f>
        <v>Mike Liska</v>
      </c>
      <c r="G2" s="12"/>
      <c r="H2" s="4"/>
      <c r="I2" s="14"/>
    </row>
    <row r="3" spans="1:9" ht="13.9" x14ac:dyDescent="0.25">
      <c r="A3" s="8"/>
      <c r="B3" s="15" t="s">
        <v>258</v>
      </c>
      <c r="C3" s="34"/>
      <c r="D3" s="35" t="str">
        <f>IF(General!D3&lt;&gt;"AXION RTU","N/A","")</f>
        <v>N/A</v>
      </c>
      <c r="E3" s="17"/>
      <c r="F3" s="35" t="str">
        <f>IF(General!D3&lt;&gt;"AXION RTU","N/A","")</f>
        <v>N/A</v>
      </c>
      <c r="G3" s="12"/>
      <c r="H3" s="20" t="s">
        <v>259</v>
      </c>
      <c r="I3" s="14"/>
    </row>
    <row r="4" spans="1:9" ht="13.9" x14ac:dyDescent="0.25">
      <c r="A4" s="8"/>
      <c r="B4" s="23" t="s">
        <v>260</v>
      </c>
      <c r="C4" s="34"/>
      <c r="D4" s="35" t="str">
        <f>IF(General!D3&lt;&gt;"AXION RTU","N/A","")</f>
        <v>N/A</v>
      </c>
      <c r="E4" s="17"/>
      <c r="F4" s="38" t="str">
        <f>IF(General!D3&lt;&gt;"AXION RTU","N/A","")</f>
        <v>N/A</v>
      </c>
      <c r="G4" s="12"/>
      <c r="H4" s="20" t="s">
        <v>261</v>
      </c>
      <c r="I4" s="14"/>
    </row>
    <row r="5" spans="1:9" ht="13.9" x14ac:dyDescent="0.25">
      <c r="A5" s="8"/>
      <c r="B5" s="11"/>
      <c r="C5" s="34"/>
      <c r="D5" s="11"/>
      <c r="E5" s="12"/>
      <c r="F5" s="86"/>
      <c r="G5" s="12"/>
      <c r="H5" s="87"/>
      <c r="I5" s="14"/>
    </row>
    <row r="6" spans="1:9" ht="13.9" x14ac:dyDescent="0.25">
      <c r="A6" s="8"/>
      <c r="B6" s="31" t="s">
        <v>596</v>
      </c>
      <c r="C6" s="34"/>
      <c r="D6" s="11"/>
      <c r="E6" s="12"/>
      <c r="F6" s="86"/>
      <c r="G6" s="12"/>
      <c r="H6" s="4"/>
      <c r="I6" s="14"/>
    </row>
    <row r="7" spans="1:9" ht="14.45" x14ac:dyDescent="0.3">
      <c r="A7" s="8"/>
      <c r="B7" s="54" t="s">
        <v>597</v>
      </c>
      <c r="C7" s="34"/>
      <c r="D7" s="11"/>
      <c r="E7" s="12"/>
      <c r="F7" s="86"/>
      <c r="G7" s="12"/>
      <c r="H7" s="4"/>
      <c r="I7" s="14"/>
    </row>
    <row r="8" spans="1:9" ht="13.9" x14ac:dyDescent="0.25">
      <c r="A8" s="8"/>
      <c r="B8" s="55" t="s">
        <v>262</v>
      </c>
      <c r="C8" s="34"/>
      <c r="D8" s="35" t="str">
        <f>IF(General!D3&lt;&gt;"AXION RTU","N/A","")</f>
        <v>N/A</v>
      </c>
      <c r="E8" s="17"/>
      <c r="F8" s="38" t="str">
        <f>IF(General!D3&lt;&gt;"AXION RTU","N/A","")</f>
        <v>N/A</v>
      </c>
      <c r="G8" s="12"/>
      <c r="H8" s="20" t="s">
        <v>263</v>
      </c>
      <c r="I8" s="14"/>
    </row>
    <row r="9" spans="1:9" ht="13.9" x14ac:dyDescent="0.25">
      <c r="A9" s="8"/>
      <c r="B9" s="70" t="s">
        <v>264</v>
      </c>
      <c r="C9" s="34"/>
      <c r="D9" s="35" t="str">
        <f>IF(General!D3&lt;&gt;"AXION RTU","N/A","")</f>
        <v>N/A</v>
      </c>
      <c r="E9" s="17"/>
      <c r="F9" s="38" t="str">
        <f>IF(General!D3&lt;&gt;"AXION RTU","N/A","")</f>
        <v>N/A</v>
      </c>
      <c r="G9" s="12"/>
      <c r="H9" s="20" t="s">
        <v>265</v>
      </c>
      <c r="I9" s="14"/>
    </row>
    <row r="10" spans="1:9" ht="13.9" x14ac:dyDescent="0.25">
      <c r="A10" s="24"/>
      <c r="B10" s="25"/>
      <c r="C10" s="25"/>
      <c r="D10" s="52"/>
      <c r="E10" s="25"/>
      <c r="F10" s="25"/>
      <c r="G10" s="25"/>
      <c r="H10" s="53"/>
      <c r="I10" s="2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15"/>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31.5703125" style="1" customWidth="1"/>
    <col min="9" max="9" width="2.7109375" style="1" customWidth="1"/>
    <col min="10" max="16384" width="8.85546875" style="1"/>
  </cols>
  <sheetData>
    <row r="1" spans="1:9" x14ac:dyDescent="0.25">
      <c r="A1" s="3"/>
      <c r="B1" s="3"/>
      <c r="C1" s="3"/>
      <c r="D1" s="30" t="s">
        <v>47</v>
      </c>
      <c r="E1" s="3"/>
      <c r="F1" s="30" t="s">
        <v>48</v>
      </c>
      <c r="G1" s="3"/>
      <c r="H1" s="6" t="s">
        <v>49</v>
      </c>
      <c r="I1" s="7"/>
    </row>
    <row r="2" spans="1:9" x14ac:dyDescent="0.25">
      <c r="A2" s="12"/>
      <c r="B2" s="9" t="s">
        <v>266</v>
      </c>
      <c r="C2" s="12"/>
      <c r="D2" s="11" t="str">
        <f>General!D5</f>
        <v>Justin Bivins</v>
      </c>
      <c r="E2" s="12"/>
      <c r="F2" s="11" t="str">
        <f>General!F6</f>
        <v>Mike Liska</v>
      </c>
      <c r="G2" s="12"/>
      <c r="H2" s="4"/>
      <c r="I2" s="14"/>
    </row>
    <row r="3" spans="1:9" x14ac:dyDescent="0.25">
      <c r="A3" s="34"/>
      <c r="B3" s="15" t="s">
        <v>267</v>
      </c>
      <c r="C3" s="34"/>
      <c r="D3" s="38" t="str">
        <f>IF(General!D3&lt;&gt;"AXION RTU","N/A","")</f>
        <v>N/A</v>
      </c>
      <c r="E3" s="17"/>
      <c r="F3" s="38" t="str">
        <f>IF(General!D3&lt;&gt;"AXION RTU","N/A","")</f>
        <v>N/A</v>
      </c>
      <c r="G3" s="12"/>
      <c r="H3" s="20" t="s">
        <v>268</v>
      </c>
      <c r="I3" s="14"/>
    </row>
    <row r="4" spans="1:9" x14ac:dyDescent="0.25">
      <c r="A4" s="34"/>
      <c r="B4" s="15" t="s">
        <v>269</v>
      </c>
      <c r="C4" s="34"/>
      <c r="D4" s="38" t="str">
        <f>IF(General!D3&lt;&gt;"AXION RTU","N/A","")</f>
        <v>N/A</v>
      </c>
      <c r="E4" s="17"/>
      <c r="F4" s="38" t="str">
        <f>IF(General!D3&lt;&gt;"AXION RTU","N/A","")</f>
        <v>N/A</v>
      </c>
      <c r="G4" s="12"/>
      <c r="H4" s="20" t="s">
        <v>270</v>
      </c>
      <c r="I4" s="14"/>
    </row>
    <row r="5" spans="1:9" x14ac:dyDescent="0.25">
      <c r="A5" s="34"/>
      <c r="B5" s="23" t="s">
        <v>271</v>
      </c>
      <c r="C5" s="34"/>
      <c r="D5" s="38" t="str">
        <f>IF(General!D3&lt;&gt;"AXION RTU","N/A","")</f>
        <v>N/A</v>
      </c>
      <c r="E5" s="17"/>
      <c r="F5" s="38" t="str">
        <f>IF(General!D3&lt;&gt;"AXION RTU","N/A","")</f>
        <v>N/A</v>
      </c>
      <c r="G5" s="12"/>
      <c r="H5" s="20" t="s">
        <v>272</v>
      </c>
      <c r="I5" s="14"/>
    </row>
    <row r="6" spans="1:9" x14ac:dyDescent="0.25">
      <c r="A6" s="12"/>
      <c r="B6" s="12"/>
      <c r="C6" s="12"/>
      <c r="D6" s="17"/>
      <c r="E6" s="17"/>
      <c r="F6" s="17"/>
      <c r="G6" s="12"/>
      <c r="H6" s="4"/>
      <c r="I6" s="14"/>
    </row>
    <row r="7" spans="1:9" x14ac:dyDescent="0.25">
      <c r="A7" s="12"/>
      <c r="B7" s="79" t="s">
        <v>273</v>
      </c>
      <c r="C7" s="12"/>
      <c r="D7" s="17"/>
      <c r="E7" s="17"/>
      <c r="F7" s="17"/>
      <c r="G7" s="12"/>
      <c r="H7" s="4"/>
      <c r="I7" s="14"/>
    </row>
    <row r="8" spans="1:9" x14ac:dyDescent="0.25">
      <c r="A8" s="12"/>
      <c r="B8" s="66" t="s">
        <v>274</v>
      </c>
      <c r="C8" s="12"/>
      <c r="D8" s="17"/>
      <c r="E8" s="17"/>
      <c r="F8" s="17"/>
      <c r="G8" s="12"/>
      <c r="H8" s="4"/>
      <c r="I8" s="14"/>
    </row>
    <row r="9" spans="1:9" x14ac:dyDescent="0.25">
      <c r="A9" s="34"/>
      <c r="B9" s="55" t="s">
        <v>275</v>
      </c>
      <c r="C9" s="34"/>
      <c r="D9" s="38" t="str">
        <f>IF(General!D3&lt;&gt;"AXION RTU","N/A","")</f>
        <v>N/A</v>
      </c>
      <c r="E9" s="17"/>
      <c r="F9" s="38" t="str">
        <f>IF(General!D3&lt;&gt;"AXION RTU","N/A","")</f>
        <v>N/A</v>
      </c>
      <c r="G9" s="12"/>
      <c r="H9" s="20" t="s">
        <v>276</v>
      </c>
      <c r="I9" s="14"/>
    </row>
    <row r="10" spans="1:9" x14ac:dyDescent="0.25">
      <c r="A10" s="34"/>
      <c r="B10" s="55" t="s">
        <v>277</v>
      </c>
      <c r="C10" s="34"/>
      <c r="D10" s="38" t="str">
        <f>IF(General!D3&lt;&gt;"AXION RTU","N/A","")</f>
        <v>N/A</v>
      </c>
      <c r="E10" s="17"/>
      <c r="F10" s="38" t="str">
        <f>IF(General!D3&lt;&gt;"AXION RTU","N/A","")</f>
        <v>N/A</v>
      </c>
      <c r="G10" s="12"/>
      <c r="H10" s="20" t="s">
        <v>278</v>
      </c>
      <c r="I10" s="14"/>
    </row>
    <row r="11" spans="1:9" x14ac:dyDescent="0.25">
      <c r="A11" s="12"/>
      <c r="B11" s="66" t="s">
        <v>197</v>
      </c>
      <c r="C11" s="12"/>
      <c r="D11" s="17"/>
      <c r="E11" s="17"/>
      <c r="F11" s="17"/>
      <c r="G11" s="12"/>
      <c r="H11" s="4"/>
      <c r="I11" s="14"/>
    </row>
    <row r="12" spans="1:9" x14ac:dyDescent="0.25">
      <c r="A12" s="12"/>
      <c r="B12" s="55" t="s">
        <v>279</v>
      </c>
      <c r="C12" s="12"/>
      <c r="D12" s="38" t="str">
        <f>IF(General!D3&lt;&gt;"AXION RTU","N/A","")</f>
        <v>N/A</v>
      </c>
      <c r="E12" s="17"/>
      <c r="F12" s="38" t="str">
        <f>IF(General!D3&lt;&gt;"AXION RTU","N/A","")</f>
        <v>N/A</v>
      </c>
      <c r="G12" s="12"/>
      <c r="H12" s="64" t="b">
        <v>0</v>
      </c>
      <c r="I12" s="14"/>
    </row>
    <row r="13" spans="1:9" x14ac:dyDescent="0.25">
      <c r="A13" s="12"/>
      <c r="B13" s="66" t="s">
        <v>280</v>
      </c>
      <c r="C13" s="12"/>
      <c r="D13" s="17"/>
      <c r="E13" s="17"/>
      <c r="F13" s="17"/>
      <c r="G13" s="12"/>
      <c r="H13" s="4"/>
      <c r="I13" s="14"/>
    </row>
    <row r="14" spans="1:9" x14ac:dyDescent="0.25">
      <c r="A14" s="12"/>
      <c r="B14" s="70" t="s">
        <v>281</v>
      </c>
      <c r="C14" s="12"/>
      <c r="D14" s="63" t="str">
        <f>IF(General!D3&lt;&gt;"AXION RTU","N/A","")</f>
        <v>N/A</v>
      </c>
      <c r="E14" s="17"/>
      <c r="F14" s="63" t="str">
        <f>IF(General!D3&lt;&gt;"AXION RTU","N/A","")</f>
        <v>N/A</v>
      </c>
      <c r="G14" s="12"/>
      <c r="H14" s="4"/>
      <c r="I14" s="14"/>
    </row>
    <row r="15" spans="1:9" x14ac:dyDescent="0.25">
      <c r="A15" s="25"/>
      <c r="B15" s="25"/>
      <c r="C15" s="25"/>
      <c r="D15" s="52"/>
      <c r="E15" s="25"/>
      <c r="F15" s="25"/>
      <c r="G15" s="25"/>
      <c r="H15" s="53"/>
      <c r="I15" s="28"/>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I18"/>
  <sheetViews>
    <sheetView workbookViewId="0"/>
  </sheetViews>
  <sheetFormatPr defaultColWidth="8.85546875" defaultRowHeight="15" x14ac:dyDescent="0.25"/>
  <cols>
    <col min="1" max="1" width="2.7109375" style="1" customWidth="1"/>
    <col min="2" max="2" width="31.8554687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40.7109375" style="1" bestFit="1" customWidth="1"/>
    <col min="9" max="9" width="2.7109375" style="1" customWidth="1"/>
    <col min="10" max="16384" width="8.85546875" style="1"/>
  </cols>
  <sheetData>
    <row r="1" spans="1:9" x14ac:dyDescent="0.25">
      <c r="A1" s="2"/>
      <c r="B1" s="3"/>
      <c r="C1" s="3"/>
      <c r="D1" s="30" t="s">
        <v>47</v>
      </c>
      <c r="E1" s="3"/>
      <c r="F1" s="30" t="s">
        <v>48</v>
      </c>
      <c r="G1" s="3"/>
      <c r="H1" s="6" t="s">
        <v>49</v>
      </c>
      <c r="I1" s="7"/>
    </row>
    <row r="2" spans="1:9" x14ac:dyDescent="0.25">
      <c r="A2" s="8"/>
      <c r="B2" s="9" t="s">
        <v>282</v>
      </c>
      <c r="C2" s="12"/>
      <c r="D2" s="11" t="str">
        <f>General!D5</f>
        <v>Justin Bivins</v>
      </c>
      <c r="E2" s="12"/>
      <c r="F2" s="11" t="str">
        <f>General!F6</f>
        <v>Mike Liska</v>
      </c>
      <c r="G2" s="12"/>
      <c r="H2" s="11"/>
      <c r="I2" s="14"/>
    </row>
    <row r="3" spans="1:9" x14ac:dyDescent="0.25">
      <c r="A3" s="8"/>
      <c r="B3" s="57" t="s">
        <v>283</v>
      </c>
      <c r="C3" s="12"/>
      <c r="D3" s="35"/>
      <c r="E3" s="17"/>
      <c r="F3" s="38"/>
      <c r="G3" s="17"/>
      <c r="H3" s="73" t="s">
        <v>284</v>
      </c>
      <c r="I3" s="14"/>
    </row>
    <row r="4" spans="1:9" x14ac:dyDescent="0.25">
      <c r="A4" s="8"/>
      <c r="B4" s="57" t="s">
        <v>209</v>
      </c>
      <c r="C4" s="12"/>
      <c r="D4" s="35"/>
      <c r="E4" s="17"/>
      <c r="F4" s="38"/>
      <c r="G4" s="17"/>
      <c r="H4" s="73" t="s">
        <v>285</v>
      </c>
      <c r="I4" s="14"/>
    </row>
    <row r="5" spans="1:9" x14ac:dyDescent="0.25">
      <c r="A5" s="8"/>
      <c r="B5" s="88" t="s">
        <v>212</v>
      </c>
      <c r="C5" s="12"/>
      <c r="D5" s="17"/>
      <c r="E5" s="17"/>
      <c r="F5" s="17"/>
      <c r="G5" s="17"/>
      <c r="H5" s="46"/>
      <c r="I5" s="14"/>
    </row>
    <row r="6" spans="1:9" x14ac:dyDescent="0.25">
      <c r="A6" s="8"/>
      <c r="B6" s="15" t="s">
        <v>286</v>
      </c>
      <c r="C6" s="12"/>
      <c r="D6" s="35"/>
      <c r="E6" s="17"/>
      <c r="F6" s="38"/>
      <c r="G6" s="17"/>
      <c r="H6" s="73" t="s">
        <v>287</v>
      </c>
      <c r="I6" s="14"/>
    </row>
    <row r="7" spans="1:9" x14ac:dyDescent="0.25">
      <c r="A7" s="8"/>
      <c r="B7" s="15" t="s">
        <v>288</v>
      </c>
      <c r="C7" s="12"/>
      <c r="D7" s="35"/>
      <c r="E7" s="17"/>
      <c r="F7" s="38"/>
      <c r="G7" s="17"/>
      <c r="H7" s="73">
        <v>32500</v>
      </c>
      <c r="I7" s="14"/>
    </row>
    <row r="8" spans="1:9" x14ac:dyDescent="0.25">
      <c r="A8" s="8"/>
      <c r="B8" s="88" t="s">
        <v>289</v>
      </c>
      <c r="C8" s="12"/>
      <c r="D8" s="17"/>
      <c r="E8" s="17"/>
      <c r="F8" s="17"/>
      <c r="G8" s="17"/>
      <c r="H8" s="46"/>
      <c r="I8" s="14"/>
    </row>
    <row r="9" spans="1:9" x14ac:dyDescent="0.25">
      <c r="A9" s="8"/>
      <c r="B9" s="15" t="s">
        <v>290</v>
      </c>
      <c r="C9" s="12"/>
      <c r="D9" s="35"/>
      <c r="E9" s="17"/>
      <c r="F9" s="63"/>
      <c r="G9" s="17"/>
      <c r="H9" s="73" t="s">
        <v>291</v>
      </c>
      <c r="I9" s="14"/>
    </row>
    <row r="10" spans="1:9" x14ac:dyDescent="0.25">
      <c r="A10" s="8"/>
      <c r="B10" s="15" t="s">
        <v>292</v>
      </c>
      <c r="C10" s="12"/>
      <c r="D10" s="35"/>
      <c r="E10" s="17"/>
      <c r="F10" s="38"/>
      <c r="G10" s="17"/>
      <c r="H10" s="73" t="s">
        <v>293</v>
      </c>
      <c r="I10" s="14"/>
    </row>
    <row r="11" spans="1:9" x14ac:dyDescent="0.25">
      <c r="A11" s="8"/>
      <c r="B11" s="15" t="s">
        <v>294</v>
      </c>
      <c r="C11" s="12"/>
      <c r="D11" s="35"/>
      <c r="E11" s="17"/>
      <c r="F11" s="38"/>
      <c r="G11" s="17"/>
      <c r="H11" s="73" t="s">
        <v>764</v>
      </c>
      <c r="I11" s="14"/>
    </row>
    <row r="12" spans="1:9" x14ac:dyDescent="0.25">
      <c r="A12" s="8"/>
      <c r="B12" s="15" t="s">
        <v>765</v>
      </c>
      <c r="C12" s="12"/>
      <c r="D12" s="35"/>
      <c r="E12" s="17"/>
      <c r="F12" s="38"/>
      <c r="G12" s="17"/>
      <c r="H12" s="73">
        <v>19200</v>
      </c>
      <c r="I12" s="14"/>
    </row>
    <row r="13" spans="1:9" x14ac:dyDescent="0.25">
      <c r="A13" s="8"/>
      <c r="B13" s="89" t="s">
        <v>212</v>
      </c>
      <c r="C13" s="12"/>
      <c r="D13" s="17"/>
      <c r="E13" s="17"/>
      <c r="F13" s="17"/>
      <c r="G13" s="17"/>
      <c r="H13" s="46"/>
      <c r="I13" s="14"/>
    </row>
    <row r="14" spans="1:9" x14ac:dyDescent="0.25">
      <c r="A14" s="8"/>
      <c r="B14" s="55" t="s">
        <v>295</v>
      </c>
      <c r="C14" s="12"/>
      <c r="D14" s="35"/>
      <c r="E14" s="17"/>
      <c r="F14" s="38"/>
      <c r="G14" s="17"/>
      <c r="H14" s="73" t="b">
        <v>1</v>
      </c>
      <c r="I14" s="14"/>
    </row>
    <row r="15" spans="1:9" x14ac:dyDescent="0.25">
      <c r="A15" s="8"/>
      <c r="B15" s="55" t="s">
        <v>296</v>
      </c>
      <c r="C15" s="12"/>
      <c r="D15" s="35"/>
      <c r="E15" s="17"/>
      <c r="F15" s="38"/>
      <c r="G15" s="17"/>
      <c r="H15" s="73" t="s">
        <v>766</v>
      </c>
      <c r="I15" s="14"/>
    </row>
    <row r="16" spans="1:9" x14ac:dyDescent="0.25">
      <c r="A16" s="8"/>
      <c r="B16" s="89" t="s">
        <v>197</v>
      </c>
      <c r="C16" s="12"/>
      <c r="D16" s="17"/>
      <c r="E16" s="17"/>
      <c r="F16" s="17"/>
      <c r="G16" s="17"/>
      <c r="H16" s="46"/>
      <c r="I16" s="14"/>
    </row>
    <row r="17" spans="1:9" x14ac:dyDescent="0.25">
      <c r="A17" s="8"/>
      <c r="B17" s="70" t="s">
        <v>297</v>
      </c>
      <c r="C17" s="12"/>
      <c r="D17" s="35"/>
      <c r="E17" s="17"/>
      <c r="F17" s="38"/>
      <c r="G17" s="17"/>
      <c r="H17" s="73" t="s">
        <v>298</v>
      </c>
      <c r="I17" s="14"/>
    </row>
    <row r="18" spans="1:9" x14ac:dyDescent="0.25">
      <c r="A18" s="24"/>
      <c r="B18" s="25"/>
      <c r="C18" s="25"/>
      <c r="D18" s="52"/>
      <c r="E18" s="25"/>
      <c r="F18" s="25"/>
      <c r="G18" s="25"/>
      <c r="H18" s="52"/>
      <c r="I18" s="28"/>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I37"/>
  <sheetViews>
    <sheetView workbookViewId="0"/>
  </sheetViews>
  <sheetFormatPr defaultColWidth="8.85546875" defaultRowHeight="15" x14ac:dyDescent="0.25"/>
  <cols>
    <col min="1" max="1" width="2.7109375" style="1" customWidth="1"/>
    <col min="2" max="2" width="47.14062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52.42578125" style="1" customWidth="1"/>
    <col min="9" max="9" width="2.7109375" style="1" customWidth="1"/>
    <col min="10" max="16384" width="8.85546875" style="1"/>
  </cols>
  <sheetData>
    <row r="1" spans="1:9" ht="13.9" x14ac:dyDescent="0.25">
      <c r="A1" s="2"/>
      <c r="B1" s="3"/>
      <c r="C1" s="3"/>
      <c r="D1" s="30" t="s">
        <v>47</v>
      </c>
      <c r="E1" s="3"/>
      <c r="F1" s="30" t="s">
        <v>48</v>
      </c>
      <c r="G1" s="3"/>
      <c r="H1" s="4"/>
      <c r="I1" s="14"/>
    </row>
    <row r="2" spans="1:9" ht="13.9" x14ac:dyDescent="0.25">
      <c r="A2" s="8"/>
      <c r="B2" s="9" t="s">
        <v>299</v>
      </c>
      <c r="C2" s="12"/>
      <c r="D2" s="11" t="str">
        <f>General!D5</f>
        <v>Justin Bivins</v>
      </c>
      <c r="E2" s="12"/>
      <c r="F2" s="11" t="str">
        <f>General!F6</f>
        <v>Mike Liska</v>
      </c>
      <c r="G2" s="12"/>
      <c r="H2" s="4"/>
      <c r="I2" s="14"/>
    </row>
    <row r="3" spans="1:9" ht="13.9" x14ac:dyDescent="0.25">
      <c r="A3" s="8"/>
      <c r="B3" s="57" t="s">
        <v>300</v>
      </c>
      <c r="C3" s="12"/>
      <c r="D3" s="35"/>
      <c r="E3" s="17"/>
      <c r="F3" s="38"/>
      <c r="G3" s="12"/>
      <c r="H3" s="4"/>
      <c r="I3" s="14"/>
    </row>
    <row r="4" spans="1:9" ht="13.9" x14ac:dyDescent="0.25">
      <c r="A4" s="8"/>
      <c r="B4" s="15" t="s">
        <v>301</v>
      </c>
      <c r="C4" s="12"/>
      <c r="D4" s="35"/>
      <c r="E4" s="17"/>
      <c r="F4" s="38"/>
      <c r="G4" s="12"/>
      <c r="H4" s="4"/>
      <c r="I4" s="14"/>
    </row>
    <row r="5" spans="1:9" ht="41.45" x14ac:dyDescent="0.25">
      <c r="A5" s="8"/>
      <c r="B5" s="33" t="s">
        <v>302</v>
      </c>
      <c r="C5" s="12"/>
      <c r="D5" s="35" t="str">
        <f>IF(General!D3&lt;&gt;"AXION RTU","N/A","")</f>
        <v>N/A</v>
      </c>
      <c r="E5" s="17"/>
      <c r="F5" s="38" t="str">
        <f>IF(General!D3&lt;&gt;"AXION RTU","N/A","")</f>
        <v>N/A</v>
      </c>
      <c r="G5" s="12"/>
      <c r="H5" s="20" t="s">
        <v>333</v>
      </c>
      <c r="I5" s="14"/>
    </row>
    <row r="6" spans="1:9" ht="13.9" x14ac:dyDescent="0.25">
      <c r="A6" s="8"/>
      <c r="B6" s="15" t="s">
        <v>303</v>
      </c>
      <c r="C6" s="12"/>
      <c r="D6" s="59"/>
      <c r="E6" s="17"/>
      <c r="F6" s="38"/>
      <c r="G6" s="12"/>
      <c r="H6" s="4"/>
      <c r="I6" s="14"/>
    </row>
    <row r="7" spans="1:9" ht="13.9" x14ac:dyDescent="0.25">
      <c r="A7" s="8"/>
      <c r="B7" s="15" t="s">
        <v>304</v>
      </c>
      <c r="C7" s="12"/>
      <c r="D7" s="35"/>
      <c r="E7" s="17"/>
      <c r="F7" s="38"/>
      <c r="G7" s="12"/>
      <c r="H7" s="4"/>
      <c r="I7" s="14"/>
    </row>
    <row r="8" spans="1:9" ht="13.9" x14ac:dyDescent="0.25">
      <c r="A8" s="8"/>
      <c r="B8" s="55" t="s">
        <v>305</v>
      </c>
      <c r="C8" s="12"/>
      <c r="D8" s="35"/>
      <c r="E8" s="17"/>
      <c r="F8" s="38"/>
      <c r="G8" s="12"/>
      <c r="H8" s="20" t="s">
        <v>306</v>
      </c>
      <c r="I8" s="14"/>
    </row>
    <row r="9" spans="1:9" ht="13.9" x14ac:dyDescent="0.25">
      <c r="A9" s="8"/>
      <c r="B9" s="55" t="s">
        <v>307</v>
      </c>
      <c r="C9" s="34"/>
      <c r="D9" s="35"/>
      <c r="E9" s="17"/>
      <c r="F9" s="38"/>
      <c r="G9" s="12"/>
      <c r="H9" s="20" t="s">
        <v>308</v>
      </c>
      <c r="I9" s="14"/>
    </row>
    <row r="10" spans="1:9" ht="13.9" x14ac:dyDescent="0.25">
      <c r="A10" s="8"/>
      <c r="B10" s="15" t="s">
        <v>309</v>
      </c>
      <c r="C10" s="12"/>
      <c r="D10" s="35"/>
      <c r="E10" s="17"/>
      <c r="F10" s="38"/>
      <c r="G10" s="12"/>
      <c r="H10" s="4"/>
      <c r="I10" s="14"/>
    </row>
    <row r="11" spans="1:9" ht="13.9" x14ac:dyDescent="0.25">
      <c r="A11" s="8"/>
      <c r="B11" s="15" t="s">
        <v>310</v>
      </c>
      <c r="C11" s="12"/>
      <c r="D11" s="35"/>
      <c r="E11" s="17"/>
      <c r="F11" s="38"/>
      <c r="G11" s="12"/>
      <c r="H11" s="4"/>
      <c r="I11" s="14"/>
    </row>
    <row r="12" spans="1:9" ht="13.9" x14ac:dyDescent="0.25">
      <c r="A12" s="8"/>
      <c r="B12" s="15" t="s">
        <v>311</v>
      </c>
      <c r="C12" s="12"/>
      <c r="D12" s="35"/>
      <c r="E12" s="17"/>
      <c r="F12" s="38"/>
      <c r="G12" s="12"/>
      <c r="H12" s="4"/>
      <c r="I12" s="14"/>
    </row>
    <row r="13" spans="1:9" ht="13.9" x14ac:dyDescent="0.25">
      <c r="A13" s="8"/>
      <c r="B13" s="51" t="s">
        <v>312</v>
      </c>
      <c r="C13" s="12"/>
      <c r="D13" s="35"/>
      <c r="E13" s="17"/>
      <c r="F13" s="38"/>
      <c r="G13" s="12"/>
      <c r="H13" s="4"/>
      <c r="I13" s="14"/>
    </row>
    <row r="14" spans="1:9" ht="13.9" x14ac:dyDescent="0.25">
      <c r="A14" s="8"/>
      <c r="B14" s="55" t="s">
        <v>313</v>
      </c>
      <c r="C14" s="34"/>
      <c r="D14" s="35"/>
      <c r="E14" s="17"/>
      <c r="F14" s="38"/>
      <c r="G14" s="12"/>
      <c r="H14" s="20" t="s">
        <v>314</v>
      </c>
      <c r="I14" s="14"/>
    </row>
    <row r="15" spans="1:9" ht="13.9" x14ac:dyDescent="0.25">
      <c r="A15" s="8"/>
      <c r="B15" s="55" t="s">
        <v>315</v>
      </c>
      <c r="C15" s="34"/>
      <c r="D15" s="35"/>
      <c r="E15" s="17"/>
      <c r="F15" s="38"/>
      <c r="G15" s="12"/>
      <c r="H15" s="20" t="s">
        <v>308</v>
      </c>
      <c r="I15" s="14"/>
    </row>
    <row r="16" spans="1:9" ht="14.45" x14ac:dyDescent="0.3">
      <c r="A16" s="8"/>
      <c r="B16" s="54" t="s">
        <v>316</v>
      </c>
      <c r="C16" s="34"/>
      <c r="D16" s="129"/>
      <c r="E16" s="12"/>
      <c r="F16" s="130"/>
      <c r="G16" s="12"/>
      <c r="H16" s="4"/>
      <c r="I16" s="14"/>
    </row>
    <row r="17" spans="1:9" ht="13.9" x14ac:dyDescent="0.25">
      <c r="A17" s="8"/>
      <c r="B17" s="55" t="s">
        <v>317</v>
      </c>
      <c r="C17" s="34"/>
      <c r="D17" s="35" t="str">
        <f>IF(General!D3&lt;&gt;"AXION RTU","N/A","")</f>
        <v>N/A</v>
      </c>
      <c r="E17" s="17"/>
      <c r="F17" s="38" t="str">
        <f>IF(General!D3&lt;&gt;"AXION RTU","N/A","")</f>
        <v>N/A</v>
      </c>
      <c r="G17" s="12"/>
      <c r="H17" s="4"/>
      <c r="I17" s="14"/>
    </row>
    <row r="18" spans="1:9" ht="13.9" x14ac:dyDescent="0.25">
      <c r="A18" s="8"/>
      <c r="B18" s="55" t="s">
        <v>318</v>
      </c>
      <c r="C18" s="34"/>
      <c r="D18" s="35" t="str">
        <f>IF(General!D3&lt;&gt;"AXION RTU","N/A","")</f>
        <v>N/A</v>
      </c>
      <c r="E18" s="17"/>
      <c r="F18" s="38" t="str">
        <f>IF(General!D3&lt;&gt;"AXION RTU","N/A","")</f>
        <v>N/A</v>
      </c>
      <c r="G18" s="12"/>
      <c r="H18" s="20" t="s">
        <v>319</v>
      </c>
      <c r="I18" s="14"/>
    </row>
    <row r="19" spans="1:9" ht="13.9" x14ac:dyDescent="0.25">
      <c r="A19" s="8"/>
      <c r="B19" s="55" t="s">
        <v>320</v>
      </c>
      <c r="C19" s="34"/>
      <c r="D19" s="35" t="str">
        <f>IF(General!D3&lt;&gt;"AXION RTU","N/A","")</f>
        <v>N/A</v>
      </c>
      <c r="E19" s="17"/>
      <c r="F19" s="38" t="str">
        <f>IF(General!D3&lt;&gt;"AXION RTU","N/A","")</f>
        <v>N/A</v>
      </c>
      <c r="G19" s="12"/>
      <c r="H19" s="90" t="s">
        <v>321</v>
      </c>
      <c r="I19" s="14"/>
    </row>
    <row r="20" spans="1:9" ht="13.9" x14ac:dyDescent="0.25">
      <c r="A20" s="8"/>
      <c r="B20" s="55" t="s">
        <v>322</v>
      </c>
      <c r="C20" s="12"/>
      <c r="D20" s="35" t="str">
        <f>IF(General!D3&lt;&gt;"AXION RTU","N/A","")</f>
        <v>N/A</v>
      </c>
      <c r="E20" s="17"/>
      <c r="F20" s="38" t="str">
        <f>IF(General!D3&lt;&gt;"AXION RTU","N/A","")</f>
        <v>N/A</v>
      </c>
      <c r="G20" s="12"/>
      <c r="H20" s="4"/>
      <c r="I20" s="14"/>
    </row>
    <row r="21" spans="1:9" ht="14.45" x14ac:dyDescent="0.3">
      <c r="A21" s="8"/>
      <c r="B21" s="54" t="s">
        <v>757</v>
      </c>
      <c r="C21" s="34"/>
      <c r="D21" s="129"/>
      <c r="E21" s="12"/>
      <c r="F21" s="130"/>
      <c r="G21" s="12"/>
      <c r="H21" s="4"/>
      <c r="I21" s="14"/>
    </row>
    <row r="22" spans="1:9" ht="13.9" x14ac:dyDescent="0.25">
      <c r="A22" s="8"/>
      <c r="B22" s="55" t="s">
        <v>758</v>
      </c>
      <c r="C22" s="34"/>
      <c r="D22" s="35"/>
      <c r="E22" s="17"/>
      <c r="F22" s="38"/>
      <c r="G22" s="12"/>
      <c r="H22" s="20" t="s">
        <v>763</v>
      </c>
      <c r="I22" s="14"/>
    </row>
    <row r="23" spans="1:9" ht="13.9" x14ac:dyDescent="0.25">
      <c r="A23" s="8"/>
      <c r="B23" s="55" t="s">
        <v>759</v>
      </c>
      <c r="C23" s="34"/>
      <c r="D23" s="35"/>
      <c r="E23" s="17"/>
      <c r="F23" s="38"/>
      <c r="G23" s="12"/>
      <c r="H23" s="20" t="s">
        <v>760</v>
      </c>
      <c r="I23" s="14"/>
    </row>
    <row r="24" spans="1:9" ht="13.9" x14ac:dyDescent="0.25">
      <c r="A24" s="8"/>
      <c r="B24" s="55" t="s">
        <v>761</v>
      </c>
      <c r="C24" s="34"/>
      <c r="D24" s="35"/>
      <c r="E24" s="17"/>
      <c r="F24" s="38"/>
      <c r="G24" s="12"/>
      <c r="H24" s="20" t="s">
        <v>762</v>
      </c>
      <c r="I24" s="14"/>
    </row>
    <row r="25" spans="1:9" ht="14.45" x14ac:dyDescent="0.3">
      <c r="A25" s="8"/>
      <c r="B25" s="54" t="s">
        <v>257</v>
      </c>
      <c r="C25" s="34"/>
      <c r="D25" s="129"/>
      <c r="E25" s="12"/>
      <c r="F25" s="130"/>
      <c r="G25" s="12"/>
      <c r="H25" s="4"/>
      <c r="I25" s="14"/>
    </row>
    <row r="26" spans="1:9" ht="13.9" x14ac:dyDescent="0.25">
      <c r="A26" s="8"/>
      <c r="B26" s="55" t="s">
        <v>323</v>
      </c>
      <c r="C26" s="34"/>
      <c r="D26" s="35" t="str">
        <f>IF(General!D3&lt;&gt;"AXION RTU","N/A","")</f>
        <v>N/A</v>
      </c>
      <c r="E26" s="17"/>
      <c r="F26" s="38" t="str">
        <f>IF(General!D3&lt;&gt;"AXION RTU","N/A","")</f>
        <v>N/A</v>
      </c>
      <c r="G26" s="12"/>
      <c r="H26" s="20" t="s">
        <v>324</v>
      </c>
      <c r="I26" s="14"/>
    </row>
    <row r="27" spans="1:9" ht="13.9" x14ac:dyDescent="0.25">
      <c r="A27" s="8"/>
      <c r="B27" s="55" t="s">
        <v>313</v>
      </c>
      <c r="C27" s="34"/>
      <c r="D27" s="35" t="str">
        <f>IF(General!D3&lt;&gt;"AXION RTU","N/A","")</f>
        <v>N/A</v>
      </c>
      <c r="E27" s="17"/>
      <c r="F27" s="38" t="str">
        <f>IF(General!D3&lt;&gt;"AXION RTU","N/A","")</f>
        <v>N/A</v>
      </c>
      <c r="G27" s="12"/>
      <c r="H27" s="20" t="s">
        <v>325</v>
      </c>
      <c r="I27" s="14"/>
    </row>
    <row r="28" spans="1:9" ht="13.9" x14ac:dyDescent="0.25">
      <c r="A28" s="8"/>
      <c r="B28" s="55" t="s">
        <v>315</v>
      </c>
      <c r="C28" s="34"/>
      <c r="D28" s="35" t="str">
        <f>IF(General!D3&lt;&gt;"AXION RTU","N/A","")</f>
        <v>N/A</v>
      </c>
      <c r="E28" s="17"/>
      <c r="F28" s="38" t="str">
        <f>IF(General!D3&lt;&gt;"AXION RTU","N/A","")</f>
        <v>N/A</v>
      </c>
      <c r="G28" s="12"/>
      <c r="H28" s="20" t="s">
        <v>326</v>
      </c>
      <c r="I28" s="14"/>
    </row>
    <row r="29" spans="1:9" ht="14.45" x14ac:dyDescent="0.3">
      <c r="A29" s="8"/>
      <c r="B29" s="54" t="s">
        <v>327</v>
      </c>
      <c r="C29" s="34"/>
      <c r="D29" s="129"/>
      <c r="E29" s="12"/>
      <c r="F29" s="130"/>
      <c r="G29" s="12"/>
      <c r="H29" s="4"/>
      <c r="I29" s="14"/>
    </row>
    <row r="30" spans="1:9" ht="13.9" x14ac:dyDescent="0.25">
      <c r="A30" s="8"/>
      <c r="B30" s="55" t="s">
        <v>323</v>
      </c>
      <c r="C30" s="34"/>
      <c r="D30" s="35" t="str">
        <f>IF(General!D3&lt;&gt;"AXION RTU","N/A","")</f>
        <v>N/A</v>
      </c>
      <c r="E30" s="17"/>
      <c r="F30" s="38" t="str">
        <f>IF(General!D3&lt;&gt;"AXION RTU","N/A","")</f>
        <v>N/A</v>
      </c>
      <c r="G30" s="12"/>
      <c r="H30" s="20" t="s">
        <v>328</v>
      </c>
      <c r="I30" s="14"/>
    </row>
    <row r="31" spans="1:9" ht="13.9" x14ac:dyDescent="0.25">
      <c r="A31" s="8"/>
      <c r="B31" s="55" t="s">
        <v>313</v>
      </c>
      <c r="C31" s="34"/>
      <c r="D31" s="35" t="str">
        <f>IF(General!D3&lt;&gt;"AXION RTU","N/A","")</f>
        <v>N/A</v>
      </c>
      <c r="E31" s="17"/>
      <c r="F31" s="38" t="str">
        <f>IF(General!D3&lt;&gt;"AXION RTU","N/A","")</f>
        <v>N/A</v>
      </c>
      <c r="G31" s="12"/>
      <c r="H31" s="20" t="s">
        <v>329</v>
      </c>
      <c r="I31" s="14"/>
    </row>
    <row r="32" spans="1:9" ht="13.9" x14ac:dyDescent="0.25">
      <c r="A32" s="8"/>
      <c r="B32" s="55" t="s">
        <v>315</v>
      </c>
      <c r="C32" s="34"/>
      <c r="D32" s="35" t="str">
        <f>IF(General!D3&lt;&gt;"AXION RTU","N/A","")</f>
        <v>N/A</v>
      </c>
      <c r="E32" s="17"/>
      <c r="F32" s="38" t="str">
        <f>IF(General!D3&lt;&gt;"AXION RTU","N/A","")</f>
        <v>N/A</v>
      </c>
      <c r="G32" s="12"/>
      <c r="H32" s="20" t="s">
        <v>330</v>
      </c>
      <c r="I32" s="14"/>
    </row>
    <row r="33" spans="1:9" ht="14.45" x14ac:dyDescent="0.3">
      <c r="A33" s="8"/>
      <c r="B33" s="54" t="s">
        <v>331</v>
      </c>
      <c r="C33" s="12"/>
      <c r="D33" s="129"/>
      <c r="E33" s="12"/>
      <c r="F33" s="130"/>
      <c r="G33" s="12"/>
      <c r="H33" s="4"/>
      <c r="I33" s="14"/>
    </row>
    <row r="34" spans="1:9" ht="13.9" x14ac:dyDescent="0.25">
      <c r="A34" s="8"/>
      <c r="B34" s="55" t="s">
        <v>323</v>
      </c>
      <c r="C34" s="34"/>
      <c r="D34" s="35" t="str">
        <f>IF(General!D3&lt;&gt;"AXION RTU","N/A","")</f>
        <v>N/A</v>
      </c>
      <c r="E34" s="17"/>
      <c r="F34" s="38" t="str">
        <f>IF(General!D3&lt;&gt;"AXION RTU","N/A","")</f>
        <v>N/A</v>
      </c>
      <c r="G34" s="12"/>
      <c r="H34" s="20" t="s">
        <v>332</v>
      </c>
      <c r="I34" s="14"/>
    </row>
    <row r="35" spans="1:9" ht="13.9" x14ac:dyDescent="0.25">
      <c r="A35" s="8"/>
      <c r="B35" s="55" t="s">
        <v>313</v>
      </c>
      <c r="C35" s="34"/>
      <c r="D35" s="35" t="str">
        <f>IF(General!D3&lt;&gt;"AXION RTU","N/A","")</f>
        <v>N/A</v>
      </c>
      <c r="E35" s="17"/>
      <c r="F35" s="38" t="str">
        <f>IF(General!D3&lt;&gt;"AXION RTU","N/A","")</f>
        <v>N/A</v>
      </c>
      <c r="G35" s="12"/>
      <c r="H35" s="20" t="s">
        <v>314</v>
      </c>
      <c r="I35" s="14"/>
    </row>
    <row r="36" spans="1:9" ht="13.9" x14ac:dyDescent="0.25">
      <c r="A36" s="8"/>
      <c r="B36" s="70" t="s">
        <v>315</v>
      </c>
      <c r="C36" s="34"/>
      <c r="D36" s="35" t="str">
        <f>IF(General!D3&lt;&gt;"AXION RTU","N/A","")</f>
        <v>N/A</v>
      </c>
      <c r="E36" s="17"/>
      <c r="F36" s="38" t="str">
        <f>IF(General!D3&lt;&gt;"AXION RTU","N/A","")</f>
        <v>N/A</v>
      </c>
      <c r="G36" s="12"/>
      <c r="H36" s="20" t="s">
        <v>308</v>
      </c>
      <c r="I36" s="14"/>
    </row>
    <row r="37" spans="1:9" ht="13.9" x14ac:dyDescent="0.25">
      <c r="A37" s="24"/>
      <c r="B37" s="25"/>
      <c r="C37" s="25"/>
      <c r="D37" s="52"/>
      <c r="E37" s="25"/>
      <c r="F37" s="25"/>
      <c r="G37" s="25"/>
      <c r="H37" s="53"/>
      <c r="I37" s="2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I30"/>
  <sheetViews>
    <sheetView workbookViewId="0"/>
  </sheetViews>
  <sheetFormatPr defaultColWidth="8.85546875" defaultRowHeight="15" x14ac:dyDescent="0.25"/>
  <cols>
    <col min="1" max="1" width="2.7109375" style="1" customWidth="1"/>
    <col min="2" max="2" width="53.28515625" style="1" bestFit="1" customWidth="1"/>
    <col min="3" max="3" width="2.7109375" style="1" customWidth="1"/>
    <col min="4" max="4" width="20.7109375" style="125" customWidth="1"/>
    <col min="5" max="5" width="2.7109375" style="1" customWidth="1"/>
    <col min="6" max="6" width="20.7109375" style="125" customWidth="1"/>
    <col min="7" max="7" width="2.7109375" style="1" customWidth="1"/>
    <col min="8" max="8" width="67.42578125" style="1" customWidth="1"/>
    <col min="9" max="9" width="2.7109375" style="1" customWidth="1"/>
    <col min="10" max="16384" width="8.85546875" style="1"/>
  </cols>
  <sheetData>
    <row r="1" spans="1:9" ht="13.9" x14ac:dyDescent="0.25">
      <c r="A1" s="2"/>
      <c r="B1" s="3"/>
      <c r="C1" s="4"/>
      <c r="D1" s="6" t="s">
        <v>47</v>
      </c>
      <c r="E1" s="4"/>
      <c r="F1" s="6" t="s">
        <v>48</v>
      </c>
      <c r="G1" s="3"/>
      <c r="H1" s="6" t="s">
        <v>49</v>
      </c>
      <c r="I1" s="7"/>
    </row>
    <row r="2" spans="1:9" ht="13.9" x14ac:dyDescent="0.25">
      <c r="A2" s="8"/>
      <c r="B2" s="9" t="s">
        <v>546</v>
      </c>
      <c r="C2" s="12"/>
      <c r="D2" s="128" t="str">
        <f>General!D5</f>
        <v>Justin Bivins</v>
      </c>
      <c r="E2" s="17"/>
      <c r="F2" s="127" t="str">
        <f>General!F6</f>
        <v>Mike Liska</v>
      </c>
      <c r="G2" s="12"/>
      <c r="H2" s="46"/>
      <c r="I2" s="14"/>
    </row>
    <row r="3" spans="1:9" ht="13.9" x14ac:dyDescent="0.25">
      <c r="A3" s="8"/>
      <c r="B3" s="15" t="s">
        <v>547</v>
      </c>
      <c r="C3" s="12"/>
      <c r="D3" s="63"/>
      <c r="E3" s="17"/>
      <c r="F3" s="63"/>
      <c r="G3" s="12"/>
      <c r="H3" s="73" t="s">
        <v>548</v>
      </c>
      <c r="I3" s="14"/>
    </row>
    <row r="4" spans="1:9" ht="13.9" x14ac:dyDescent="0.25">
      <c r="A4" s="8"/>
      <c r="B4" s="15" t="s">
        <v>727</v>
      </c>
      <c r="C4" s="12"/>
      <c r="D4" s="35"/>
      <c r="E4" s="17"/>
      <c r="F4" s="63"/>
      <c r="G4" s="12"/>
      <c r="H4" s="73" t="s">
        <v>549</v>
      </c>
      <c r="I4" s="14"/>
    </row>
    <row r="5" spans="1:9" ht="13.9" x14ac:dyDescent="0.25">
      <c r="A5" s="8"/>
      <c r="B5" s="15" t="s">
        <v>550</v>
      </c>
      <c r="C5" s="12"/>
      <c r="D5" s="35"/>
      <c r="E5" s="17"/>
      <c r="F5" s="91"/>
      <c r="G5" s="12"/>
      <c r="H5" s="92" t="s">
        <v>551</v>
      </c>
      <c r="I5" s="14"/>
    </row>
    <row r="6" spans="1:9" ht="13.9" x14ac:dyDescent="0.25">
      <c r="A6" s="8"/>
      <c r="B6" s="15" t="s">
        <v>552</v>
      </c>
      <c r="C6" s="12"/>
      <c r="D6" s="35"/>
      <c r="E6" s="17"/>
      <c r="F6" s="63"/>
      <c r="G6" s="12"/>
      <c r="H6" s="73" t="s">
        <v>553</v>
      </c>
      <c r="I6" s="14"/>
    </row>
    <row r="7" spans="1:9" ht="13.9" x14ac:dyDescent="0.25">
      <c r="A7" s="8"/>
      <c r="B7" s="15" t="s">
        <v>651</v>
      </c>
      <c r="C7" s="12"/>
      <c r="D7" s="46"/>
      <c r="E7" s="17"/>
      <c r="F7" s="17"/>
      <c r="G7" s="12"/>
      <c r="H7" s="46"/>
      <c r="I7" s="14"/>
    </row>
    <row r="8" spans="1:9" ht="13.9" x14ac:dyDescent="0.25">
      <c r="A8" s="8"/>
      <c r="B8" s="15" t="s">
        <v>554</v>
      </c>
      <c r="C8" s="12"/>
      <c r="D8" s="35"/>
      <c r="E8" s="17"/>
      <c r="F8" s="63"/>
      <c r="G8" s="12"/>
      <c r="H8" s="73" t="s">
        <v>555</v>
      </c>
      <c r="I8" s="14"/>
    </row>
    <row r="9" spans="1:9" ht="13.9" x14ac:dyDescent="0.25">
      <c r="A9" s="8"/>
      <c r="B9" s="51" t="s">
        <v>556</v>
      </c>
      <c r="C9" s="12"/>
      <c r="D9" s="35"/>
      <c r="E9" s="17"/>
      <c r="F9" s="63"/>
      <c r="G9" s="12"/>
      <c r="H9" s="73" t="s">
        <v>557</v>
      </c>
      <c r="I9" s="14"/>
    </row>
    <row r="10" spans="1:9" ht="13.9" x14ac:dyDescent="0.25">
      <c r="A10" s="8"/>
      <c r="B10" s="15" t="s">
        <v>558</v>
      </c>
      <c r="C10" s="12"/>
      <c r="D10" s="35"/>
      <c r="E10" s="17"/>
      <c r="F10" s="63"/>
      <c r="G10" s="12"/>
      <c r="H10" s="73" t="s">
        <v>559</v>
      </c>
      <c r="I10" s="14"/>
    </row>
    <row r="11" spans="1:9" ht="13.9" x14ac:dyDescent="0.25">
      <c r="A11" s="8"/>
      <c r="B11" s="85" t="s">
        <v>560</v>
      </c>
      <c r="C11" s="12"/>
      <c r="D11" s="46"/>
      <c r="E11" s="17"/>
      <c r="F11" s="17"/>
      <c r="G11" s="12"/>
      <c r="H11" s="93"/>
      <c r="I11" s="14"/>
    </row>
    <row r="12" spans="1:9" ht="13.9" x14ac:dyDescent="0.25">
      <c r="A12" s="8"/>
      <c r="B12" s="15" t="s">
        <v>561</v>
      </c>
      <c r="C12" s="12"/>
      <c r="D12" s="35"/>
      <c r="E12" s="17"/>
      <c r="F12" s="63"/>
      <c r="G12" s="12"/>
      <c r="H12" s="73" t="s">
        <v>562</v>
      </c>
      <c r="I12" s="14"/>
    </row>
    <row r="13" spans="1:9" ht="13.9" x14ac:dyDescent="0.25">
      <c r="A13" s="8"/>
      <c r="B13" s="66" t="s">
        <v>340</v>
      </c>
      <c r="C13" s="12"/>
      <c r="D13" s="46"/>
      <c r="E13" s="17"/>
      <c r="F13" s="17"/>
      <c r="G13" s="12"/>
      <c r="H13" s="93"/>
      <c r="I13" s="14"/>
    </row>
    <row r="14" spans="1:9" ht="13.9" x14ac:dyDescent="0.25">
      <c r="A14" s="8"/>
      <c r="B14" s="55" t="s">
        <v>563</v>
      </c>
      <c r="C14" s="12"/>
      <c r="D14" s="35"/>
      <c r="E14" s="17"/>
      <c r="F14" s="63"/>
      <c r="G14" s="12"/>
      <c r="H14" s="73" t="s">
        <v>564</v>
      </c>
      <c r="I14" s="14"/>
    </row>
    <row r="15" spans="1:9" ht="13.9" x14ac:dyDescent="0.25">
      <c r="A15" s="8"/>
      <c r="B15" s="55" t="s">
        <v>565</v>
      </c>
      <c r="C15" s="12"/>
      <c r="D15" s="35"/>
      <c r="E15" s="17"/>
      <c r="F15" s="63"/>
      <c r="G15" s="12"/>
      <c r="H15" s="73" t="s">
        <v>566</v>
      </c>
      <c r="I15" s="14"/>
    </row>
    <row r="16" spans="1:9" ht="13.9" x14ac:dyDescent="0.25">
      <c r="A16" s="8"/>
      <c r="B16" s="55" t="s">
        <v>567</v>
      </c>
      <c r="C16" s="12"/>
      <c r="D16" s="35"/>
      <c r="E16" s="17"/>
      <c r="F16" s="63"/>
      <c r="G16" s="12"/>
      <c r="H16" s="73" t="s">
        <v>568</v>
      </c>
      <c r="I16" s="14"/>
    </row>
    <row r="17" spans="1:9" ht="13.9" x14ac:dyDescent="0.25">
      <c r="A17" s="8"/>
      <c r="B17" s="55" t="s">
        <v>652</v>
      </c>
      <c r="C17" s="12"/>
      <c r="D17" s="35"/>
      <c r="E17" s="17"/>
      <c r="F17" s="63"/>
      <c r="G17" s="12"/>
      <c r="H17" s="73" t="s">
        <v>569</v>
      </c>
      <c r="I17" s="14"/>
    </row>
    <row r="18" spans="1:9" ht="13.9" x14ac:dyDescent="0.25">
      <c r="A18" s="8"/>
      <c r="B18" s="55" t="s">
        <v>653</v>
      </c>
      <c r="C18" s="12"/>
      <c r="D18" s="35"/>
      <c r="E18" s="17"/>
      <c r="F18" s="63"/>
      <c r="G18" s="12"/>
      <c r="H18" s="73" t="s">
        <v>570</v>
      </c>
      <c r="I18" s="14"/>
    </row>
    <row r="19" spans="1:9" ht="13.9" x14ac:dyDescent="0.25">
      <c r="A19" s="8"/>
      <c r="B19" s="48" t="s">
        <v>571</v>
      </c>
      <c r="C19" s="12"/>
      <c r="D19" s="46"/>
      <c r="E19" s="17"/>
      <c r="F19" s="17"/>
      <c r="G19" s="12"/>
      <c r="H19" s="46"/>
      <c r="I19" s="14"/>
    </row>
    <row r="20" spans="1:9" ht="13.9" x14ac:dyDescent="0.25">
      <c r="A20" s="8"/>
      <c r="B20" s="51" t="s">
        <v>572</v>
      </c>
      <c r="C20" s="12"/>
      <c r="D20" s="35"/>
      <c r="E20" s="17"/>
      <c r="F20" s="63"/>
      <c r="G20" s="12"/>
      <c r="H20" s="73" t="s">
        <v>573</v>
      </c>
      <c r="I20" s="14"/>
    </row>
    <row r="21" spans="1:9" ht="13.9" x14ac:dyDescent="0.25">
      <c r="A21" s="8"/>
      <c r="B21" s="94" t="s">
        <v>574</v>
      </c>
      <c r="C21" s="12"/>
      <c r="D21" s="35"/>
      <c r="E21" s="17"/>
      <c r="F21" s="63"/>
      <c r="G21" s="12"/>
      <c r="H21" s="73" t="s">
        <v>575</v>
      </c>
      <c r="I21" s="14"/>
    </row>
    <row r="22" spans="1:9" ht="27.6" x14ac:dyDescent="0.25">
      <c r="A22" s="8"/>
      <c r="B22" s="51" t="s">
        <v>576</v>
      </c>
      <c r="C22" s="12"/>
      <c r="D22" s="35"/>
      <c r="E22" s="17"/>
      <c r="F22" s="63"/>
      <c r="G22" s="12"/>
      <c r="H22" s="92" t="s">
        <v>577</v>
      </c>
      <c r="I22" s="14"/>
    </row>
    <row r="23" spans="1:9" ht="13.9" x14ac:dyDescent="0.25">
      <c r="A23" s="8"/>
      <c r="B23" s="51" t="s">
        <v>643</v>
      </c>
      <c r="C23" s="12"/>
      <c r="D23" s="35"/>
      <c r="E23" s="17"/>
      <c r="F23" s="63"/>
      <c r="G23" s="12"/>
      <c r="H23" s="92" t="s">
        <v>644</v>
      </c>
      <c r="I23" s="14"/>
    </row>
    <row r="24" spans="1:9" ht="13.9" x14ac:dyDescent="0.25">
      <c r="A24" s="8"/>
      <c r="B24" s="88" t="s">
        <v>249</v>
      </c>
      <c r="C24" s="12"/>
      <c r="D24" s="46"/>
      <c r="E24" s="12"/>
      <c r="F24" s="17"/>
      <c r="G24" s="12"/>
      <c r="H24" s="46"/>
      <c r="I24" s="14"/>
    </row>
    <row r="25" spans="1:9" ht="13.9" x14ac:dyDescent="0.25">
      <c r="A25" s="8"/>
      <c r="B25" s="15" t="s">
        <v>250</v>
      </c>
      <c r="C25" s="12"/>
      <c r="D25" s="16"/>
      <c r="E25" s="12"/>
      <c r="F25" s="38"/>
      <c r="G25" s="12"/>
      <c r="H25" s="20" t="s">
        <v>578</v>
      </c>
      <c r="I25" s="14"/>
    </row>
    <row r="26" spans="1:9" ht="13.9" x14ac:dyDescent="0.25">
      <c r="A26" s="8"/>
      <c r="B26" s="85" t="s">
        <v>579</v>
      </c>
      <c r="C26" s="12"/>
      <c r="D26" s="46"/>
      <c r="E26" s="12"/>
      <c r="F26" s="17"/>
      <c r="G26" s="12"/>
      <c r="H26" s="46"/>
      <c r="I26" s="14"/>
    </row>
    <row r="27" spans="1:9" ht="13.9" x14ac:dyDescent="0.25">
      <c r="A27" s="8"/>
      <c r="B27" s="33" t="s">
        <v>580</v>
      </c>
      <c r="C27" s="12"/>
      <c r="D27" s="16"/>
      <c r="E27" s="12"/>
      <c r="F27" s="38"/>
      <c r="G27" s="12"/>
      <c r="H27" s="20" t="s">
        <v>581</v>
      </c>
      <c r="I27" s="14"/>
    </row>
    <row r="28" spans="1:9" ht="13.9" x14ac:dyDescent="0.25">
      <c r="A28" s="8"/>
      <c r="B28" s="33" t="s">
        <v>582</v>
      </c>
      <c r="C28" s="12"/>
      <c r="D28" s="16"/>
      <c r="E28" s="12"/>
      <c r="F28" s="38"/>
      <c r="G28" s="12"/>
      <c r="H28" s="20" t="s">
        <v>583</v>
      </c>
      <c r="I28" s="14"/>
    </row>
    <row r="29" spans="1:9" ht="13.9" x14ac:dyDescent="0.25">
      <c r="A29" s="8"/>
      <c r="B29" s="39" t="s">
        <v>584</v>
      </c>
      <c r="C29" s="12"/>
      <c r="D29" s="16"/>
      <c r="E29" s="12"/>
      <c r="F29" s="38"/>
      <c r="G29" s="12"/>
      <c r="H29" s="20" t="s">
        <v>585</v>
      </c>
      <c r="I29" s="14"/>
    </row>
    <row r="30" spans="1:9" ht="13.9" x14ac:dyDescent="0.25">
      <c r="A30" s="24"/>
      <c r="B30" s="25"/>
      <c r="C30" s="25"/>
      <c r="D30" s="27"/>
      <c r="E30" s="25"/>
      <c r="F30" s="126"/>
      <c r="G30" s="25"/>
      <c r="H30" s="27"/>
      <c r="I30" s="28"/>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K27"/>
  <sheetViews>
    <sheetView workbookViewId="0">
      <selection sqref="A1:K2"/>
    </sheetView>
  </sheetViews>
  <sheetFormatPr defaultColWidth="8.85546875" defaultRowHeight="15" x14ac:dyDescent="0.25"/>
  <cols>
    <col min="1" max="1" width="44" style="1" bestFit="1" customWidth="1"/>
    <col min="2" max="2" width="8.85546875" style="1"/>
    <col min="3" max="3" width="23.140625" style="1" bestFit="1" customWidth="1"/>
    <col min="4" max="4" width="8.85546875" style="1"/>
    <col min="5" max="5" width="24.140625" style="1" bestFit="1" customWidth="1"/>
    <col min="6" max="6" width="8.85546875" style="1"/>
    <col min="7" max="7" width="32.28515625" style="1" bestFit="1" customWidth="1"/>
    <col min="8" max="8" width="8.85546875" style="1"/>
    <col min="9" max="9" width="40.7109375" style="1" bestFit="1" customWidth="1"/>
    <col min="10" max="10" width="9.28515625" style="1" customWidth="1"/>
    <col min="11" max="11" width="25.28515625" style="1" bestFit="1" customWidth="1"/>
    <col min="12" max="16384" width="8.85546875" style="1"/>
  </cols>
  <sheetData>
    <row r="1" spans="1:11" x14ac:dyDescent="0.25">
      <c r="A1" s="169" t="s">
        <v>463</v>
      </c>
      <c r="B1" s="169"/>
      <c r="C1" s="169"/>
      <c r="D1" s="169"/>
      <c r="E1" s="169"/>
      <c r="F1" s="169"/>
      <c r="G1" s="169"/>
      <c r="H1" s="169"/>
      <c r="I1" s="169"/>
      <c r="J1" s="169"/>
      <c r="K1" s="169"/>
    </row>
    <row r="2" spans="1:11" x14ac:dyDescent="0.25">
      <c r="A2" s="169"/>
      <c r="B2" s="169"/>
      <c r="C2" s="169"/>
      <c r="D2" s="169"/>
      <c r="E2" s="169"/>
      <c r="F2" s="169"/>
      <c r="G2" s="169"/>
      <c r="H2" s="169"/>
      <c r="I2" s="169"/>
      <c r="J2" s="169"/>
      <c r="K2" s="169"/>
    </row>
    <row r="3" spans="1:11" x14ac:dyDescent="0.25">
      <c r="A3" s="95" t="s">
        <v>464</v>
      </c>
      <c r="C3" s="96" t="s">
        <v>465</v>
      </c>
      <c r="E3" s="96" t="s">
        <v>466</v>
      </c>
      <c r="G3" s="96" t="s">
        <v>467</v>
      </c>
      <c r="I3" s="96" t="s">
        <v>468</v>
      </c>
      <c r="K3" s="96" t="s">
        <v>469</v>
      </c>
    </row>
    <row r="4" spans="1:11" x14ac:dyDescent="0.25">
      <c r="A4" s="97" t="s">
        <v>470</v>
      </c>
      <c r="C4" s="98" t="s">
        <v>471</v>
      </c>
      <c r="E4" s="97" t="s">
        <v>472</v>
      </c>
      <c r="G4" s="99" t="s">
        <v>473</v>
      </c>
      <c r="I4" s="99" t="s">
        <v>474</v>
      </c>
      <c r="K4" s="99" t="s">
        <v>475</v>
      </c>
    </row>
    <row r="5" spans="1:11" x14ac:dyDescent="0.25">
      <c r="A5" s="97" t="s">
        <v>476</v>
      </c>
      <c r="C5" s="99" t="s">
        <v>477</v>
      </c>
      <c r="E5" s="99" t="s">
        <v>478</v>
      </c>
      <c r="G5" s="100" t="s">
        <v>479</v>
      </c>
      <c r="I5" s="99" t="s">
        <v>480</v>
      </c>
      <c r="K5" s="100" t="s">
        <v>481</v>
      </c>
    </row>
    <row r="6" spans="1:11" x14ac:dyDescent="0.25">
      <c r="A6" s="97" t="s">
        <v>482</v>
      </c>
      <c r="E6" s="99" t="s">
        <v>483</v>
      </c>
      <c r="G6" s="100" t="s">
        <v>484</v>
      </c>
      <c r="I6" s="99" t="s">
        <v>485</v>
      </c>
      <c r="K6" s="100" t="s">
        <v>486</v>
      </c>
    </row>
    <row r="7" spans="1:11" x14ac:dyDescent="0.25">
      <c r="A7" s="97" t="s">
        <v>487</v>
      </c>
      <c r="E7" s="99" t="s">
        <v>488</v>
      </c>
      <c r="G7" s="100" t="s">
        <v>489</v>
      </c>
      <c r="I7" s="99" t="s">
        <v>490</v>
      </c>
      <c r="K7" s="100" t="s">
        <v>491</v>
      </c>
    </row>
    <row r="8" spans="1:11" x14ac:dyDescent="0.25">
      <c r="A8" s="97" t="s">
        <v>492</v>
      </c>
      <c r="E8" s="101" t="s">
        <v>493</v>
      </c>
      <c r="G8" s="102" t="s">
        <v>494</v>
      </c>
      <c r="I8" s="99" t="s">
        <v>495</v>
      </c>
      <c r="K8" s="100" t="s">
        <v>496</v>
      </c>
    </row>
    <row r="9" spans="1:11" x14ac:dyDescent="0.25">
      <c r="A9" s="97" t="s">
        <v>497</v>
      </c>
      <c r="E9" s="101" t="s">
        <v>498</v>
      </c>
      <c r="I9" s="99" t="s">
        <v>499</v>
      </c>
    </row>
    <row r="10" spans="1:11" x14ac:dyDescent="0.25">
      <c r="A10" s="97" t="s">
        <v>500</v>
      </c>
      <c r="I10" s="99" t="s">
        <v>501</v>
      </c>
    </row>
    <row r="11" spans="1:11" x14ac:dyDescent="0.25">
      <c r="A11" s="97" t="s">
        <v>502</v>
      </c>
    </row>
    <row r="12" spans="1:11" x14ac:dyDescent="0.25">
      <c r="A12" s="103"/>
    </row>
    <row r="13" spans="1:11" x14ac:dyDescent="0.25">
      <c r="A13" s="104" t="s">
        <v>503</v>
      </c>
      <c r="I13" s="99" t="s">
        <v>504</v>
      </c>
    </row>
    <row r="15" spans="1:11" x14ac:dyDescent="0.25">
      <c r="A15" s="97"/>
      <c r="G15" s="170" t="s">
        <v>505</v>
      </c>
      <c r="H15" s="170"/>
      <c r="I15" s="170"/>
      <c r="J15" s="170"/>
      <c r="K15" s="170"/>
    </row>
    <row r="16" spans="1:11" x14ac:dyDescent="0.25">
      <c r="A16" s="105" t="s">
        <v>506</v>
      </c>
      <c r="C16" s="105" t="s">
        <v>507</v>
      </c>
      <c r="E16" s="105" t="s">
        <v>508</v>
      </c>
      <c r="G16" s="105" t="s">
        <v>509</v>
      </c>
      <c r="I16" s="105" t="s">
        <v>510</v>
      </c>
      <c r="K16" s="105" t="s">
        <v>511</v>
      </c>
    </row>
    <row r="17" spans="1:11" x14ac:dyDescent="0.25">
      <c r="A17" s="97" t="s">
        <v>512</v>
      </c>
      <c r="C17" s="99" t="s">
        <v>513</v>
      </c>
      <c r="E17" s="99" t="s">
        <v>514</v>
      </c>
      <c r="G17" s="1" t="s">
        <v>515</v>
      </c>
      <c r="I17" s="1" t="s">
        <v>516</v>
      </c>
      <c r="K17" s="1" t="s">
        <v>517</v>
      </c>
    </row>
    <row r="18" spans="1:11" x14ac:dyDescent="0.25">
      <c r="A18" s="97" t="s">
        <v>518</v>
      </c>
      <c r="C18" s="106" t="s">
        <v>519</v>
      </c>
      <c r="E18" s="106" t="s">
        <v>519</v>
      </c>
      <c r="G18" s="1" t="s">
        <v>520</v>
      </c>
      <c r="I18" s="1" t="s">
        <v>521</v>
      </c>
      <c r="K18" s="1" t="s">
        <v>522</v>
      </c>
    </row>
    <row r="19" spans="1:11" x14ac:dyDescent="0.25">
      <c r="A19" s="97" t="s">
        <v>523</v>
      </c>
      <c r="G19" s="1" t="s">
        <v>524</v>
      </c>
      <c r="I19" s="1" t="s">
        <v>525</v>
      </c>
      <c r="K19" s="1" t="s">
        <v>526</v>
      </c>
    </row>
    <row r="20" spans="1:11" x14ac:dyDescent="0.25">
      <c r="A20" s="97" t="s">
        <v>527</v>
      </c>
      <c r="G20" s="1" t="s">
        <v>528</v>
      </c>
      <c r="I20" s="1" t="s">
        <v>529</v>
      </c>
      <c r="K20" s="1" t="s">
        <v>530</v>
      </c>
    </row>
    <row r="21" spans="1:11" x14ac:dyDescent="0.25">
      <c r="A21" s="97" t="s">
        <v>531</v>
      </c>
      <c r="G21" s="1" t="s">
        <v>532</v>
      </c>
      <c r="I21" s="1" t="s">
        <v>533</v>
      </c>
      <c r="K21" s="1" t="s">
        <v>534</v>
      </c>
    </row>
    <row r="22" spans="1:11" x14ac:dyDescent="0.25">
      <c r="A22" s="97" t="s">
        <v>535</v>
      </c>
      <c r="G22" s="1" t="s">
        <v>536</v>
      </c>
      <c r="I22" s="1" t="s">
        <v>537</v>
      </c>
      <c r="K22" s="1" t="s">
        <v>538</v>
      </c>
    </row>
    <row r="23" spans="1:11" x14ac:dyDescent="0.25">
      <c r="A23" s="97" t="s">
        <v>539</v>
      </c>
      <c r="G23" s="1" t="s">
        <v>540</v>
      </c>
    </row>
    <row r="24" spans="1:11" x14ac:dyDescent="0.25">
      <c r="A24" s="97" t="s">
        <v>541</v>
      </c>
    </row>
    <row r="25" spans="1:11" x14ac:dyDescent="0.25">
      <c r="A25" s="107" t="s">
        <v>542</v>
      </c>
    </row>
    <row r="26" spans="1:11" x14ac:dyDescent="0.25">
      <c r="A26" s="107" t="s">
        <v>543</v>
      </c>
    </row>
    <row r="27" spans="1:11" x14ac:dyDescent="0.25">
      <c r="A27" s="97" t="s">
        <v>544</v>
      </c>
    </row>
  </sheetData>
  <mergeCells count="2">
    <mergeCell ref="A1:K2"/>
    <mergeCell ref="G15:K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P72"/>
  <sheetViews>
    <sheetView workbookViewId="0"/>
  </sheetViews>
  <sheetFormatPr defaultColWidth="8.85546875" defaultRowHeight="15" x14ac:dyDescent="0.25"/>
  <cols>
    <col min="1" max="1" width="8.85546875" style="1"/>
    <col min="2" max="2" width="12.5703125" style="1" bestFit="1" customWidth="1"/>
    <col min="3" max="3" width="20.28515625" style="1" bestFit="1" customWidth="1"/>
    <col min="4" max="4" width="43.7109375" style="1" bestFit="1" customWidth="1"/>
    <col min="5" max="5" width="8.85546875" style="1"/>
    <col min="6" max="6" width="12.5703125" style="1" bestFit="1" customWidth="1"/>
    <col min="7" max="7" width="28.28515625" style="1" bestFit="1" customWidth="1"/>
    <col min="8" max="8" width="55" style="1" bestFit="1" customWidth="1"/>
    <col min="9" max="9" width="8.85546875" style="1"/>
    <col min="10" max="10" width="12.5703125" style="1" bestFit="1" customWidth="1"/>
    <col min="11" max="11" width="28.28515625" style="1" bestFit="1" customWidth="1"/>
    <col min="12" max="12" width="60.7109375" style="1" bestFit="1" customWidth="1"/>
    <col min="13" max="13" width="8.85546875" style="1"/>
    <col min="14" max="14" width="12.5703125" style="1" bestFit="1" customWidth="1"/>
    <col min="15" max="15" width="48.7109375" style="1" bestFit="1" customWidth="1"/>
    <col min="16" max="16" width="77.7109375" style="1" bestFit="1" customWidth="1"/>
    <col min="17" max="16384" width="8.85546875" style="1"/>
  </cols>
  <sheetData>
    <row r="1" spans="1:16" x14ac:dyDescent="0.25">
      <c r="A1" s="1" t="s">
        <v>455</v>
      </c>
      <c r="B1" s="108" t="s">
        <v>334</v>
      </c>
      <c r="C1" s="1" t="s">
        <v>335</v>
      </c>
      <c r="F1" s="108" t="s">
        <v>334</v>
      </c>
      <c r="G1" s="1" t="s">
        <v>336</v>
      </c>
      <c r="J1" s="108" t="s">
        <v>334</v>
      </c>
      <c r="K1" s="1" t="s">
        <v>337</v>
      </c>
      <c r="N1" s="108" t="s">
        <v>334</v>
      </c>
      <c r="O1" s="1" t="s">
        <v>338</v>
      </c>
    </row>
    <row r="2" spans="1:16" x14ac:dyDescent="0.25">
      <c r="A2" s="1" t="s">
        <v>456</v>
      </c>
      <c r="B2" s="109" t="s">
        <v>339</v>
      </c>
      <c r="C2" s="1" t="s">
        <v>177</v>
      </c>
      <c r="F2" s="109" t="s">
        <v>339</v>
      </c>
      <c r="G2" s="1" t="s">
        <v>177</v>
      </c>
      <c r="J2" s="109" t="s">
        <v>339</v>
      </c>
      <c r="K2" s="1" t="s">
        <v>458</v>
      </c>
      <c r="N2" s="109" t="s">
        <v>339</v>
      </c>
      <c r="O2" s="1" t="s">
        <v>177</v>
      </c>
    </row>
    <row r="3" spans="1:16" x14ac:dyDescent="0.25">
      <c r="A3" s="1" t="s">
        <v>457</v>
      </c>
    </row>
    <row r="4" spans="1:16" x14ac:dyDescent="0.25">
      <c r="A4" s="1" t="s">
        <v>458</v>
      </c>
      <c r="B4" s="110" t="s">
        <v>340</v>
      </c>
      <c r="C4" s="110" t="s">
        <v>341</v>
      </c>
      <c r="D4" s="110" t="s">
        <v>342</v>
      </c>
      <c r="F4" s="110" t="s">
        <v>340</v>
      </c>
      <c r="G4" s="110" t="s">
        <v>341</v>
      </c>
      <c r="H4" s="110" t="s">
        <v>342</v>
      </c>
      <c r="J4" s="110" t="s">
        <v>340</v>
      </c>
      <c r="K4" s="110" t="s">
        <v>341</v>
      </c>
      <c r="L4" s="110" t="s">
        <v>342</v>
      </c>
      <c r="N4" s="110" t="s">
        <v>340</v>
      </c>
      <c r="O4" s="110" t="s">
        <v>341</v>
      </c>
      <c r="P4" s="110" t="s">
        <v>342</v>
      </c>
    </row>
    <row r="5" spans="1:16" x14ac:dyDescent="0.25">
      <c r="A5" s="1" t="s">
        <v>177</v>
      </c>
      <c r="B5" s="1">
        <v>0</v>
      </c>
      <c r="C5" s="1" t="s">
        <v>343</v>
      </c>
      <c r="D5" s="111" t="str">
        <f t="shared" ref="D5:D35" si="0">CONCATENATE($C$1, ".", $C$2, "_", TEXT(B5, "00000"), "_",C5)</f>
        <v>SATEC_P18_Q14_IN_IV.AI_00000_KV_PH_A</v>
      </c>
      <c r="F5" s="1">
        <v>0</v>
      </c>
      <c r="G5" s="1" t="s">
        <v>344</v>
      </c>
      <c r="H5" s="111" t="str">
        <f t="shared" ref="H5:H25" si="1">CONCATENATE($G$1, ".", $G$2, "_", TEXT(F5, "00000"), "_",G5)</f>
        <v>Bitronics_P12_Q3_FOWLES_DNP.AI_00000_HEALTH_CHECK   </v>
      </c>
      <c r="J5" s="1">
        <v>0</v>
      </c>
      <c r="K5" s="1" t="s">
        <v>631</v>
      </c>
      <c r="L5" s="1" t="str">
        <f>CONCATENATE($K$1, ".", $K$2, "_", TEXT(J5, "00000"), "_",K5)</f>
        <v>Ion_P12_Q3_FOWLES_DNP.CNT_00000_MWH_Del_Comp</v>
      </c>
      <c r="N5" s="1">
        <v>0</v>
      </c>
      <c r="O5" s="1" t="s">
        <v>345</v>
      </c>
      <c r="P5" s="1" t="str">
        <f>CONCATENATE($O$1, ".", $O$2, "_", TEXT(N5, "00000"), "_",O5)</f>
        <v>DRMCC_RE97_27_DNP.AI_00000_HV_WINDING_TEMP</v>
      </c>
    </row>
    <row r="6" spans="1:16" x14ac:dyDescent="0.25">
      <c r="A6" s="1" t="s">
        <v>459</v>
      </c>
      <c r="B6" s="1">
        <v>1</v>
      </c>
      <c r="C6" s="1" t="s">
        <v>346</v>
      </c>
      <c r="D6" s="111" t="str">
        <f t="shared" si="0"/>
        <v>SATEC_P18_Q14_IN_IV.AI_00001_KV_PH_B</v>
      </c>
      <c r="F6" s="1">
        <v>1</v>
      </c>
      <c r="G6" s="1" t="s">
        <v>347</v>
      </c>
      <c r="H6" s="111" t="str">
        <f t="shared" si="1"/>
        <v>Bitronics_P12_Q3_FOWLES_DNP.AI_00001_AMPS_PH_A      </v>
      </c>
      <c r="J6" s="1">
        <v>1</v>
      </c>
      <c r="K6" s="1" t="s">
        <v>633</v>
      </c>
      <c r="L6" s="1" t="str">
        <f t="shared" ref="L6:L12" si="2">CONCATENATE($K$1, ".", $K$2, "_", TEXT(J6, "00000"), "_",K6)</f>
        <v>Ion_P12_Q3_FOWLES_DNP.CNT_00001_MVARH_Del_Comp</v>
      </c>
      <c r="N6" s="1">
        <v>1</v>
      </c>
      <c r="O6" s="1" t="s">
        <v>348</v>
      </c>
      <c r="P6" s="1" t="str">
        <f t="shared" ref="P6:P69" si="3">CONCATENATE($O$1, ".", $O$2, "_", TEXT(N6, "00000"), "_",O6)</f>
        <v>DRMCC_RE97_27_DNP.AI_00001_XV_WINDING_TEMP</v>
      </c>
    </row>
    <row r="7" spans="1:16" x14ac:dyDescent="0.25">
      <c r="B7" s="1">
        <v>2</v>
      </c>
      <c r="C7" s="1" t="s">
        <v>349</v>
      </c>
      <c r="D7" s="111" t="str">
        <f t="shared" si="0"/>
        <v>SATEC_P18_Q14_IN_IV.AI_00002_KV_PH_C</v>
      </c>
      <c r="F7" s="1">
        <v>2</v>
      </c>
      <c r="G7" s="1" t="s">
        <v>350</v>
      </c>
      <c r="H7" s="111" t="str">
        <f t="shared" si="1"/>
        <v>Bitronics_P12_Q3_FOWLES_DNP.AI_00002_AMPS_PH_B      </v>
      </c>
      <c r="J7" s="1">
        <v>2</v>
      </c>
      <c r="K7" s="1" t="s">
        <v>632</v>
      </c>
      <c r="L7" s="1" t="str">
        <f t="shared" si="2"/>
        <v>Ion_P12_Q3_FOWLES_DNP.CNT_00002_MWH_Rec_Comp</v>
      </c>
      <c r="N7" s="1">
        <v>2</v>
      </c>
      <c r="O7" s="1" t="s">
        <v>351</v>
      </c>
      <c r="P7" s="1" t="str">
        <f t="shared" si="3"/>
        <v>DRMCC_RE97_27_DNP.AI_00002_XV_LOAD_CURRENT</v>
      </c>
    </row>
    <row r="8" spans="1:16" x14ac:dyDescent="0.25">
      <c r="B8" s="1">
        <v>3</v>
      </c>
      <c r="C8" s="1" t="s">
        <v>352</v>
      </c>
      <c r="D8" s="111" t="str">
        <f t="shared" si="0"/>
        <v>SATEC_P18_Q14_IN_IV.AI_00003_AMPS_PH_A</v>
      </c>
      <c r="F8" s="1">
        <v>3</v>
      </c>
      <c r="G8" s="1" t="s">
        <v>353</v>
      </c>
      <c r="H8" s="111" t="str">
        <f t="shared" si="1"/>
        <v>Bitronics_P12_Q3_FOWLES_DNP.AI_00003_AMPS_PH_C      </v>
      </c>
      <c r="J8" s="1">
        <v>3</v>
      </c>
      <c r="K8" s="1" t="s">
        <v>634</v>
      </c>
      <c r="L8" s="1" t="str">
        <f t="shared" si="2"/>
        <v>Ion_P12_Q3_FOWLES_DNP.CNT_00003_MVARH_Rec_Comp</v>
      </c>
      <c r="N8" s="1">
        <v>3</v>
      </c>
      <c r="O8" s="1" t="s">
        <v>354</v>
      </c>
      <c r="P8" s="1" t="str">
        <f t="shared" si="3"/>
        <v>DRMCC_RE97_27_DNP.AI_00003_GROUP_A_FAN_AMPS</v>
      </c>
    </row>
    <row r="9" spans="1:16" x14ac:dyDescent="0.25">
      <c r="B9" s="1">
        <v>4</v>
      </c>
      <c r="C9" s="1" t="s">
        <v>355</v>
      </c>
      <c r="D9" s="111" t="str">
        <f t="shared" si="0"/>
        <v>SATEC_P18_Q14_IN_IV.AI_00004_AMPS_PH_B</v>
      </c>
      <c r="F9" s="1">
        <v>4</v>
      </c>
      <c r="G9" s="1" t="s">
        <v>356</v>
      </c>
      <c r="H9" s="111" t="str">
        <f t="shared" si="1"/>
        <v>Bitronics_P12_Q3_FOWLES_DNP.AI_00004_VOLTS_PH_A     </v>
      </c>
      <c r="J9" s="1">
        <v>4</v>
      </c>
      <c r="K9" s="1" t="s">
        <v>635</v>
      </c>
      <c r="L9" s="1" t="str">
        <f t="shared" si="2"/>
        <v>Ion_P12_Q3_FOWLES_DNP.CNT_00004_MWH_Del_UC</v>
      </c>
      <c r="N9" s="1">
        <v>4</v>
      </c>
      <c r="O9" s="1" t="s">
        <v>357</v>
      </c>
      <c r="P9" s="1" t="str">
        <f t="shared" si="3"/>
        <v>DRMCC_RE97_27_DNP.AI_00004_GROUP_B_FAN_AMPS</v>
      </c>
    </row>
    <row r="10" spans="1:16" x14ac:dyDescent="0.25">
      <c r="B10" s="1">
        <v>5</v>
      </c>
      <c r="C10" s="1" t="s">
        <v>358</v>
      </c>
      <c r="D10" s="111" t="str">
        <f t="shared" si="0"/>
        <v>SATEC_P18_Q14_IN_IV.AI_00005_AMPS_PH_C</v>
      </c>
      <c r="F10" s="1">
        <v>5</v>
      </c>
      <c r="G10" s="1" t="s">
        <v>359</v>
      </c>
      <c r="H10" s="111" t="str">
        <f t="shared" si="1"/>
        <v>Bitronics_P12_Q3_FOWLES_DNP.AI_00005_VOLTS_PH_B     </v>
      </c>
      <c r="J10" s="1">
        <v>5</v>
      </c>
      <c r="K10" s="1" t="s">
        <v>636</v>
      </c>
      <c r="L10" s="1" t="str">
        <f t="shared" si="2"/>
        <v>Ion_P12_Q3_FOWLES_DNP.CNT_00005_MVARH_Del_UC</v>
      </c>
      <c r="N10" s="1">
        <v>5</v>
      </c>
      <c r="O10" s="1" t="s">
        <v>360</v>
      </c>
      <c r="P10" s="1" t="str">
        <f t="shared" si="3"/>
        <v>DRMCC_RE97_27_DNP.AI_00005_AMBIENT_TEMPERATURE</v>
      </c>
    </row>
    <row r="11" spans="1:16" x14ac:dyDescent="0.25">
      <c r="B11" s="1">
        <v>6</v>
      </c>
      <c r="C11" s="1" t="s">
        <v>361</v>
      </c>
      <c r="D11" s="111" t="str">
        <f t="shared" si="0"/>
        <v>SATEC_P18_Q14_IN_IV.AI_00006_KW_PH_A</v>
      </c>
      <c r="F11" s="1">
        <v>6</v>
      </c>
      <c r="G11" s="1" t="s">
        <v>362</v>
      </c>
      <c r="H11" s="111" t="str">
        <f t="shared" si="1"/>
        <v>Bitronics_P12_Q3_FOWLES_DNP.AI_00006_VOLTS_PH_C     </v>
      </c>
      <c r="J11" s="1">
        <v>6</v>
      </c>
      <c r="K11" s="1" t="s">
        <v>637</v>
      </c>
      <c r="L11" s="1" t="str">
        <f t="shared" si="2"/>
        <v>Ion_P12_Q3_FOWLES_DNP.CNT_00006_MWH_REC_UC</v>
      </c>
      <c r="N11" s="1">
        <v>6</v>
      </c>
      <c r="O11" s="1" t="s">
        <v>363</v>
      </c>
      <c r="P11" s="1" t="str">
        <f t="shared" si="3"/>
        <v>DRMCC_RE97_27_DNP.AI_00006_TOP_OIL_TEMPERATURE</v>
      </c>
    </row>
    <row r="12" spans="1:16" x14ac:dyDescent="0.25">
      <c r="B12" s="1">
        <v>7</v>
      </c>
      <c r="C12" s="1" t="s">
        <v>364</v>
      </c>
      <c r="D12" s="111" t="str">
        <f t="shared" si="0"/>
        <v>SATEC_P18_Q14_IN_IV.AI_00007_KW_PH_B</v>
      </c>
      <c r="F12" s="1">
        <v>7</v>
      </c>
      <c r="G12" s="1" t="s">
        <v>365</v>
      </c>
      <c r="H12" s="111" t="str">
        <f t="shared" si="1"/>
        <v>Bitronics_P12_Q3_FOWLES_DNP.AI_00007_3PH_MW </v>
      </c>
      <c r="J12" s="1">
        <v>7</v>
      </c>
      <c r="K12" s="1" t="s">
        <v>638</v>
      </c>
      <c r="L12" s="1" t="str">
        <f t="shared" si="2"/>
        <v>Ion_P12_Q3_FOWLES_DNP.CNT_00007_MVARH_REC_UC</v>
      </c>
      <c r="N12" s="1">
        <v>7</v>
      </c>
      <c r="O12" s="1" t="s">
        <v>366</v>
      </c>
      <c r="P12" s="1" t="str">
        <f t="shared" si="3"/>
        <v>DRMCC_RE97_27_DNP.AI_00007_INCON_TAP_POSITION_SENSOR</v>
      </c>
    </row>
    <row r="13" spans="1:16" x14ac:dyDescent="0.25">
      <c r="B13" s="1">
        <v>8</v>
      </c>
      <c r="C13" s="1" t="s">
        <v>367</v>
      </c>
      <c r="D13" s="111" t="str">
        <f t="shared" si="0"/>
        <v>SATEC_P18_Q14_IN_IV.AI_00008_KW_PH_C</v>
      </c>
      <c r="F13" s="1">
        <v>8</v>
      </c>
      <c r="G13" s="1" t="s">
        <v>368</v>
      </c>
      <c r="H13" s="111" t="str">
        <f t="shared" si="1"/>
        <v>Bitronics_P12_Q3_FOWLES_DNP.AI_00008_3PH_MX </v>
      </c>
      <c r="N13" s="1">
        <v>8</v>
      </c>
      <c r="O13" s="1" t="s">
        <v>369</v>
      </c>
      <c r="P13" s="1" t="str">
        <f t="shared" si="3"/>
        <v>DRMCC_RE97_27_DNP.AI_00008_HV_LOAD_CURRENT</v>
      </c>
    </row>
    <row r="14" spans="1:16" x14ac:dyDescent="0.25">
      <c r="B14" s="1">
        <v>9</v>
      </c>
      <c r="C14" s="1" t="s">
        <v>370</v>
      </c>
      <c r="D14" s="111" t="str">
        <f t="shared" si="0"/>
        <v>SATEC_P18_Q14_IN_IV.AI_00009_KVAR_PH_A</v>
      </c>
      <c r="F14" s="1">
        <v>9</v>
      </c>
      <c r="G14" s="1" t="s">
        <v>371</v>
      </c>
      <c r="H14" s="111" t="str">
        <f t="shared" si="1"/>
        <v>Bitronics_P12_Q3_FOWLES_DNP.AI_00009_WATTS_PH_A     </v>
      </c>
      <c r="N14" s="1">
        <v>9</v>
      </c>
      <c r="O14" s="1" t="s">
        <v>372</v>
      </c>
      <c r="P14" s="1" t="str">
        <f t="shared" si="3"/>
        <v>DRMCC_RE97_27_DNP.AI_00009_LTC_OIL_TEMPERATURE</v>
      </c>
    </row>
    <row r="15" spans="1:16" x14ac:dyDescent="0.25">
      <c r="B15" s="1">
        <v>10</v>
      </c>
      <c r="C15" s="1" t="s">
        <v>373</v>
      </c>
      <c r="D15" s="111" t="str">
        <f t="shared" si="0"/>
        <v>SATEC_P18_Q14_IN_IV.AI_00010_KVAR_PH_B</v>
      </c>
      <c r="F15" s="1">
        <v>10</v>
      </c>
      <c r="G15" s="1" t="s">
        <v>374</v>
      </c>
      <c r="H15" s="111" t="str">
        <f t="shared" si="1"/>
        <v>Bitronics_P12_Q3_FOWLES_DNP.AI_00010_WATTS_PH_B     </v>
      </c>
      <c r="N15" s="1">
        <v>10</v>
      </c>
      <c r="O15" s="1" t="s">
        <v>375</v>
      </c>
      <c r="P15" s="1" t="str">
        <f t="shared" si="3"/>
        <v>DRMCC_RE97_27_DNP.AI_00010_BOTTOM_OIL_TEMP</v>
      </c>
    </row>
    <row r="16" spans="1:16" x14ac:dyDescent="0.25">
      <c r="B16" s="1">
        <v>11</v>
      </c>
      <c r="C16" s="1" t="s">
        <v>376</v>
      </c>
      <c r="D16" s="111" t="str">
        <f t="shared" si="0"/>
        <v>SATEC_P18_Q14_IN_IV.AI_00011_KVAR_PH_C</v>
      </c>
      <c r="F16" s="1">
        <v>11</v>
      </c>
      <c r="G16" s="1" t="s">
        <v>377</v>
      </c>
      <c r="H16" s="111" t="str">
        <f t="shared" si="1"/>
        <v>Bitronics_P12_Q3_FOWLES_DNP.AI_00011_WATTS_PH_C     </v>
      </c>
      <c r="J16" s="109" t="s">
        <v>339</v>
      </c>
      <c r="K16" s="1" t="s">
        <v>177</v>
      </c>
      <c r="N16" s="1">
        <v>11</v>
      </c>
      <c r="O16" s="1" t="s">
        <v>378</v>
      </c>
      <c r="P16" s="1" t="str">
        <f t="shared" si="3"/>
        <v>DRMCC_RE97_27_DNP.AI_00011_MAIN_TANK_TEMP</v>
      </c>
    </row>
    <row r="17" spans="2:16" x14ac:dyDescent="0.25">
      <c r="B17" s="1">
        <v>12</v>
      </c>
      <c r="C17" s="1" t="s">
        <v>379</v>
      </c>
      <c r="D17" s="111" t="str">
        <f t="shared" si="0"/>
        <v>SATEC_P18_Q14_IN_IV.AI_00012_KVA_PH_A</v>
      </c>
      <c r="F17" s="1">
        <v>12</v>
      </c>
      <c r="G17" s="1" t="s">
        <v>380</v>
      </c>
      <c r="H17" s="111" t="str">
        <f t="shared" si="1"/>
        <v>Bitronics_P12_Q3_FOWLES_DNP.AI_00012_VARS_PH_A      </v>
      </c>
      <c r="J17" s="110" t="s">
        <v>340</v>
      </c>
      <c r="K17" s="110" t="s">
        <v>341</v>
      </c>
      <c r="L17" s="110" t="s">
        <v>342</v>
      </c>
      <c r="N17" s="1">
        <v>12</v>
      </c>
      <c r="O17" s="1" t="s">
        <v>381</v>
      </c>
      <c r="P17" s="1" t="str">
        <f t="shared" si="3"/>
        <v>DRMCC_RE97_27_DNP.AI_00012_LTC_DIFF_TEMPERATURE</v>
      </c>
    </row>
    <row r="18" spans="2:16" x14ac:dyDescent="0.25">
      <c r="B18" s="1">
        <v>13</v>
      </c>
      <c r="C18" s="1" t="s">
        <v>382</v>
      </c>
      <c r="D18" s="111" t="str">
        <f t="shared" si="0"/>
        <v>SATEC_P18_Q14_IN_IV.AI_00013_KVA_PH_B</v>
      </c>
      <c r="F18" s="1">
        <v>13</v>
      </c>
      <c r="G18" s="1" t="s">
        <v>383</v>
      </c>
      <c r="H18" s="111" t="str">
        <f t="shared" si="1"/>
        <v>Bitronics_P12_Q3_FOWLES_DNP.AI_00013_VARS_PH_B      </v>
      </c>
      <c r="J18" s="1">
        <v>0</v>
      </c>
      <c r="K18" s="1" t="s">
        <v>617</v>
      </c>
      <c r="L18" s="1" t="str">
        <f>CONCATENATE($K$1, ".", $K$16, "_", TEXT(J18, "00000"), "_",K18)</f>
        <v>Ion_P12_Q3_FOWLES_DNP.AI_00000_Ph_A_Amps</v>
      </c>
      <c r="N18" s="1">
        <v>13</v>
      </c>
      <c r="O18" s="1" t="s">
        <v>384</v>
      </c>
      <c r="P18" s="1" t="str">
        <f t="shared" si="3"/>
        <v>DRMCC_RE97_27_DNP.AI_00013_TAP_POSITION</v>
      </c>
    </row>
    <row r="19" spans="2:16" x14ac:dyDescent="0.25">
      <c r="B19" s="1">
        <v>14</v>
      </c>
      <c r="C19" s="1" t="s">
        <v>385</v>
      </c>
      <c r="D19" s="111" t="str">
        <f t="shared" si="0"/>
        <v>SATEC_P18_Q14_IN_IV.AI_00014_KVA_PH_C</v>
      </c>
      <c r="F19" s="1">
        <v>14</v>
      </c>
      <c r="G19" s="1" t="s">
        <v>386</v>
      </c>
      <c r="H19" s="111" t="str">
        <f t="shared" si="1"/>
        <v>Bitronics_P12_Q3_FOWLES_DNP.AI_00014_VARS_PH_C      </v>
      </c>
      <c r="J19" s="1">
        <v>1</v>
      </c>
      <c r="K19" s="1" t="s">
        <v>618</v>
      </c>
      <c r="L19" s="1" t="str">
        <f t="shared" ref="L19:L31" si="4">CONCATENATE($K$1, ".", $K$16, "_", TEXT(J19, "00000"), "_",K19)</f>
        <v>Ion_P12_Q3_FOWLES_DNP.AI_00001_Ph_B_Amps</v>
      </c>
      <c r="N19" s="1">
        <v>14</v>
      </c>
      <c r="O19" s="1" t="s">
        <v>387</v>
      </c>
      <c r="P19" s="1" t="str">
        <f t="shared" si="3"/>
        <v>DRMCC_RE97_27_DNP.AI_00014_LAST_SAVE_H2_CONCENTRATION</v>
      </c>
    </row>
    <row r="20" spans="2:16" x14ac:dyDescent="0.25">
      <c r="B20" s="1">
        <v>15</v>
      </c>
      <c r="C20" s="1" t="s">
        <v>388</v>
      </c>
      <c r="D20" s="111" t="str">
        <f t="shared" si="0"/>
        <v>SATEC_P18_Q14_IN_IV.AI_00015_PF_PH_A</v>
      </c>
      <c r="F20" s="1">
        <v>15</v>
      </c>
      <c r="G20" s="1" t="s">
        <v>389</v>
      </c>
      <c r="H20" s="111" t="str">
        <f t="shared" si="1"/>
        <v>Bitronics_P12_Q3_FOWLES_DNP.AI_00015_CT_VALUE       </v>
      </c>
      <c r="J20" s="1">
        <v>2</v>
      </c>
      <c r="K20" s="1" t="s">
        <v>619</v>
      </c>
      <c r="L20" s="1" t="str">
        <f t="shared" si="4"/>
        <v>Ion_P12_Q3_FOWLES_DNP.AI_00002_Ph_C_Amps</v>
      </c>
      <c r="N20" s="1">
        <v>15</v>
      </c>
      <c r="O20" s="1" t="s">
        <v>390</v>
      </c>
      <c r="P20" s="1" t="str">
        <f t="shared" si="3"/>
        <v>DRMCC_RE97_27_DNP.AI_00015_ACTUAL_CONTINUOUS_HYDROGEN_READING</v>
      </c>
    </row>
    <row r="21" spans="2:16" x14ac:dyDescent="0.25">
      <c r="B21" s="1">
        <v>16</v>
      </c>
      <c r="C21" s="1" t="s">
        <v>391</v>
      </c>
      <c r="D21" s="111" t="str">
        <f t="shared" si="0"/>
        <v>SATEC_P18_Q14_IN_IV.AI_00016_PF_PH_B</v>
      </c>
      <c r="F21" s="1">
        <v>16</v>
      </c>
      <c r="G21" s="1" t="s">
        <v>392</v>
      </c>
      <c r="H21" s="111" t="str">
        <f t="shared" si="1"/>
        <v>Bitronics_P12_Q3_FOWLES_DNP.AI_00016_CT_DIVISOR     </v>
      </c>
      <c r="J21" s="1">
        <v>3</v>
      </c>
      <c r="K21" s="1" t="s">
        <v>620</v>
      </c>
      <c r="L21" s="1" t="str">
        <f t="shared" si="4"/>
        <v>Ion_P12_Q3_FOWLES_DNP.AI_00003_Avg_Amps</v>
      </c>
      <c r="N21" s="1">
        <v>16</v>
      </c>
      <c r="O21" s="1" t="s">
        <v>393</v>
      </c>
      <c r="P21" s="1" t="str">
        <f t="shared" si="3"/>
        <v>DRMCC_RE97_27_DNP.AI_00016_ACTUAL_CALCULATED_WATER_SATURATION</v>
      </c>
    </row>
    <row r="22" spans="2:16" x14ac:dyDescent="0.25">
      <c r="B22" s="1">
        <v>17</v>
      </c>
      <c r="C22" s="1" t="s">
        <v>394</v>
      </c>
      <c r="D22" s="111" t="str">
        <f t="shared" si="0"/>
        <v>SATEC_P18_Q14_IN_IV.AI_00017_PF_PH_C</v>
      </c>
      <c r="F22" s="1">
        <v>17</v>
      </c>
      <c r="G22" s="1" t="s">
        <v>395</v>
      </c>
      <c r="H22" s="111" t="str">
        <f t="shared" si="1"/>
        <v>Bitronics_P12_Q3_FOWLES_DNP.AI_00017_PT_VALUE       </v>
      </c>
      <c r="J22" s="1">
        <v>4</v>
      </c>
      <c r="K22" s="1" t="s">
        <v>621</v>
      </c>
      <c r="L22" s="1" t="str">
        <f t="shared" si="4"/>
        <v>Ion_P12_Q3_FOWLES_DNP.AI_00004_Ph_A_kV</v>
      </c>
      <c r="N22" s="1">
        <v>17</v>
      </c>
      <c r="O22" s="1" t="s">
        <v>396</v>
      </c>
      <c r="P22" s="1" t="str">
        <f t="shared" si="3"/>
        <v>DRMCC_RE97_27_DNP.AI_00017_ACTUAL_CALCULATED_WATER_CONCENTRATION_PPM</v>
      </c>
    </row>
    <row r="23" spans="2:16" x14ac:dyDescent="0.25">
      <c r="B23" s="1">
        <v>18</v>
      </c>
      <c r="C23" s="1" t="s">
        <v>397</v>
      </c>
      <c r="D23" s="111" t="str">
        <f t="shared" si="0"/>
        <v>SATEC_P18_Q14_IN_IV.AI_00018_TOTAL_PF</v>
      </c>
      <c r="F23" s="1">
        <v>18</v>
      </c>
      <c r="G23" s="1" t="s">
        <v>398</v>
      </c>
      <c r="H23" s="111" t="str">
        <f t="shared" si="1"/>
        <v>Bitronics_P12_Q3_FOWLES_DNP.AI_00018_PT_DIVISOR     </v>
      </c>
      <c r="J23" s="1">
        <v>5</v>
      </c>
      <c r="K23" s="1" t="s">
        <v>622</v>
      </c>
      <c r="L23" s="1" t="str">
        <f t="shared" si="4"/>
        <v>Ion_P12_Q3_FOWLES_DNP.AI_00005_Ph_B_kV</v>
      </c>
      <c r="N23" s="1">
        <v>18</v>
      </c>
      <c r="O23" s="1" t="s">
        <v>399</v>
      </c>
      <c r="P23" s="1" t="str">
        <f t="shared" si="3"/>
        <v>DRMCC_RE97_27_DNP.AI_00018_ACTUAL_CALCULATE_WATER_SATURATION_IN_XFMR</v>
      </c>
    </row>
    <row r="24" spans="2:16" x14ac:dyDescent="0.25">
      <c r="B24" s="1">
        <v>19</v>
      </c>
      <c r="C24" s="1" t="s">
        <v>400</v>
      </c>
      <c r="D24" s="111" t="str">
        <f t="shared" si="0"/>
        <v>SATEC_P18_Q14_IN_IV.AI_00019_TOTALKW</v>
      </c>
      <c r="F24" s="1">
        <v>19</v>
      </c>
      <c r="G24" s="1" t="s">
        <v>401</v>
      </c>
      <c r="H24" s="111" t="str">
        <f t="shared" si="1"/>
        <v>Bitronics_P12_Q3_FOWLES_DNP.AI_00019_NEUTRAL_CURRENT</v>
      </c>
      <c r="J24" s="1">
        <v>6</v>
      </c>
      <c r="K24" s="1" t="s">
        <v>623</v>
      </c>
      <c r="L24" s="1" t="str">
        <f t="shared" si="4"/>
        <v>Ion_P12_Q3_FOWLES_DNP.AI_00006_Ph_C_kV</v>
      </c>
      <c r="N24" s="1">
        <v>19</v>
      </c>
      <c r="O24" s="1" t="s">
        <v>402</v>
      </c>
      <c r="P24" s="1" t="str">
        <f>CONCATENATE($O$1, ".", $O$2, "_", TEXT(N24, "00000"), "_",O24)</f>
        <v>DRMCC_RE97_27_DNP.AI_00019_XFMR_OIL_TEMPERATURE</v>
      </c>
    </row>
    <row r="25" spans="2:16" x14ac:dyDescent="0.25">
      <c r="B25" s="1">
        <v>20</v>
      </c>
      <c r="C25" s="1" t="s">
        <v>403</v>
      </c>
      <c r="D25" s="111" t="str">
        <f t="shared" si="0"/>
        <v>SATEC_P18_Q14_IN_IV.AI_00020_TOTAL_KVAR</v>
      </c>
      <c r="F25" s="1">
        <v>20</v>
      </c>
      <c r="G25" s="1" t="s">
        <v>404</v>
      </c>
      <c r="H25" s="111" t="str">
        <f t="shared" si="1"/>
        <v>Bitronics_P12_Q3_FOWLES_DNP.AI_00020_FREQUENCY      </v>
      </c>
      <c r="J25" s="1">
        <v>7</v>
      </c>
      <c r="K25" s="1" t="s">
        <v>624</v>
      </c>
      <c r="L25" s="1" t="str">
        <f t="shared" si="4"/>
        <v>Ion_P12_Q3_FOWLES_DNP.AI_00007_Avg_kV</v>
      </c>
      <c r="N25" s="1">
        <v>20</v>
      </c>
      <c r="O25" s="1" t="s">
        <v>405</v>
      </c>
      <c r="P25" s="1" t="str">
        <f t="shared" si="3"/>
        <v>DRMCC_RE97_27_DNP.AI_00020_LAST_SAVED_CARBON_MONOXIDE_CONCENTRATION</v>
      </c>
    </row>
    <row r="26" spans="2:16" x14ac:dyDescent="0.25">
      <c r="B26" s="1">
        <v>21</v>
      </c>
      <c r="C26" s="1" t="s">
        <v>406</v>
      </c>
      <c r="D26" s="111" t="str">
        <f t="shared" si="0"/>
        <v>SATEC_P18_Q14_IN_IV.AI_00021_TOTAL_KVA</v>
      </c>
      <c r="H26" s="111"/>
      <c r="J26" s="1">
        <v>8</v>
      </c>
      <c r="K26" s="1" t="s">
        <v>625</v>
      </c>
      <c r="L26" s="1" t="str">
        <f t="shared" si="4"/>
        <v>Ion_P12_Q3_FOWLES_DNP.AI_00008_Total_MW_Comp</v>
      </c>
      <c r="N26" s="1">
        <v>21</v>
      </c>
      <c r="O26" s="1" t="s">
        <v>407</v>
      </c>
      <c r="P26" s="1" t="str">
        <f t="shared" si="3"/>
        <v>DRMCC_RE97_27_DNP.AI_00021_HYDROGEN_TREND</v>
      </c>
    </row>
    <row r="27" spans="2:16" x14ac:dyDescent="0.25">
      <c r="B27" s="1">
        <v>22</v>
      </c>
      <c r="C27" s="1" t="s">
        <v>408</v>
      </c>
      <c r="D27" s="111" t="str">
        <f t="shared" si="0"/>
        <v>SATEC_P18_Q14_IN_IV.AI_00022_NEUT_CURRENT</v>
      </c>
      <c r="H27" s="111"/>
      <c r="J27" s="1">
        <v>9</v>
      </c>
      <c r="K27" s="1" t="s">
        <v>626</v>
      </c>
      <c r="L27" s="1" t="str">
        <f t="shared" si="4"/>
        <v>Ion_P12_Q3_FOWLES_DNP.AI_00009_Total_MVAR_Comp</v>
      </c>
      <c r="N27" s="1">
        <v>22</v>
      </c>
      <c r="O27" s="1" t="s">
        <v>409</v>
      </c>
      <c r="P27" s="1" t="str">
        <f t="shared" si="3"/>
        <v>DRMCC_RE97_27_DNP.AI_00022_CARBON_MONOXIDE_TREND</v>
      </c>
    </row>
    <row r="28" spans="2:16" x14ac:dyDescent="0.25">
      <c r="B28" s="1">
        <v>23</v>
      </c>
      <c r="C28" s="1" t="s">
        <v>410</v>
      </c>
      <c r="D28" s="111" t="str">
        <f t="shared" si="0"/>
        <v>SATEC_P18_Q14_IN_IV.AI_00023_FREQ</v>
      </c>
      <c r="H28" s="111"/>
      <c r="J28" s="1">
        <v>10</v>
      </c>
      <c r="K28" s="1" t="s">
        <v>627</v>
      </c>
      <c r="L28" s="1" t="str">
        <f t="shared" si="4"/>
        <v>Ion_P12_Q3_FOWLES_DNP.AI_00010_Total_MW_Uncomp</v>
      </c>
      <c r="N28" s="1">
        <v>23</v>
      </c>
      <c r="O28" s="1" t="s">
        <v>411</v>
      </c>
      <c r="P28" s="1" t="str">
        <f t="shared" si="3"/>
        <v>DRMCC_RE97_27_DNP.AI_00023_MOISTURE_IN_OIL_TREND</v>
      </c>
    </row>
    <row r="29" spans="2:16" x14ac:dyDescent="0.25">
      <c r="B29" s="1">
        <v>24</v>
      </c>
      <c r="D29" s="111" t="str">
        <f t="shared" si="0"/>
        <v>SATEC_P18_Q14_IN_IV.AI_00024_</v>
      </c>
      <c r="H29" s="111"/>
      <c r="J29" s="1">
        <v>11</v>
      </c>
      <c r="K29" s="1" t="s">
        <v>628</v>
      </c>
      <c r="L29" s="1" t="str">
        <f t="shared" si="4"/>
        <v>Ion_P12_Q3_FOWLES_DNP.AI_00011_Total_MVAR_Uncomp</v>
      </c>
      <c r="N29" s="1">
        <v>24</v>
      </c>
      <c r="O29" s="1" t="s">
        <v>351</v>
      </c>
      <c r="P29" s="1" t="str">
        <f t="shared" si="3"/>
        <v>DRMCC_RE97_27_DNP.AI_00024_XV_LOAD_CURRENT</v>
      </c>
    </row>
    <row r="30" spans="2:16" x14ac:dyDescent="0.25">
      <c r="B30" s="1">
        <v>25</v>
      </c>
      <c r="D30" s="111" t="str">
        <f t="shared" si="0"/>
        <v>SATEC_P18_Q14_IN_IV.AI_00025_</v>
      </c>
      <c r="H30" s="111"/>
      <c r="J30" s="1">
        <v>12</v>
      </c>
      <c r="K30" s="1" t="s">
        <v>629</v>
      </c>
      <c r="L30" s="1" t="str">
        <f t="shared" si="4"/>
        <v>Ion_P12_Q3_FOWLES_DNP.AI_00012_Frequency</v>
      </c>
      <c r="N30" s="1">
        <v>25</v>
      </c>
      <c r="O30" s="1" t="s">
        <v>412</v>
      </c>
      <c r="P30" s="1" t="str">
        <f t="shared" si="3"/>
        <v>DRMCC_RE97_27_DNP.AI_00025_XV_VOLTAGE</v>
      </c>
    </row>
    <row r="31" spans="2:16" x14ac:dyDescent="0.25">
      <c r="B31" s="1">
        <v>26</v>
      </c>
      <c r="D31" s="111" t="str">
        <f t="shared" si="0"/>
        <v>SATEC_P18_Q14_IN_IV.AI_00026_</v>
      </c>
      <c r="H31" s="111"/>
      <c r="J31" s="1">
        <v>13</v>
      </c>
      <c r="K31" s="1" t="s">
        <v>630</v>
      </c>
      <c r="L31" s="1" t="str">
        <f t="shared" si="4"/>
        <v>Ion_P12_Q3_FOWLES_DNP.AI_00013_V_ZeroSeqMag</v>
      </c>
      <c r="N31" s="1">
        <v>26</v>
      </c>
      <c r="O31" s="1" t="s">
        <v>413</v>
      </c>
      <c r="P31" s="1" t="str">
        <f t="shared" si="3"/>
        <v>DRMCC_RE97_27_DNP.AI_00026_MONTH_FROM_DRMCC</v>
      </c>
    </row>
    <row r="32" spans="2:16" x14ac:dyDescent="0.25">
      <c r="B32" s="1">
        <v>27</v>
      </c>
      <c r="D32" s="111" t="str">
        <f t="shared" si="0"/>
        <v>SATEC_P18_Q14_IN_IV.AI_00027_</v>
      </c>
      <c r="H32" s="111"/>
      <c r="N32" s="1">
        <v>27</v>
      </c>
      <c r="O32" s="1" t="s">
        <v>414</v>
      </c>
      <c r="P32" s="1" t="str">
        <f t="shared" si="3"/>
        <v>DRMCC_RE97_27_DNP.AI_00027_DAY_FROM_DRMCC</v>
      </c>
    </row>
    <row r="33" spans="2:16" x14ac:dyDescent="0.25">
      <c r="B33" s="1">
        <v>28</v>
      </c>
      <c r="D33" s="111" t="str">
        <f t="shared" si="0"/>
        <v>SATEC_P18_Q14_IN_IV.AI_00028_</v>
      </c>
      <c r="H33" s="111"/>
      <c r="N33" s="1">
        <v>28</v>
      </c>
      <c r="O33" s="1" t="s">
        <v>415</v>
      </c>
      <c r="P33" s="1" t="str">
        <f t="shared" si="3"/>
        <v>DRMCC_RE97_27_DNP.AI_00028_YEAR_FROM_DRMCC</v>
      </c>
    </row>
    <row r="34" spans="2:16" x14ac:dyDescent="0.25">
      <c r="B34" s="1">
        <v>29</v>
      </c>
      <c r="D34" s="111" t="str">
        <f t="shared" si="0"/>
        <v>SATEC_P18_Q14_IN_IV.AI_00029_</v>
      </c>
      <c r="H34" s="111"/>
      <c r="N34" s="1">
        <v>29</v>
      </c>
      <c r="O34" s="1" t="s">
        <v>416</v>
      </c>
      <c r="P34" s="1" t="str">
        <f t="shared" si="3"/>
        <v>DRMCC_RE97_27_DNP.AI_00029_HOUR_FROM_DRMCC</v>
      </c>
    </row>
    <row r="35" spans="2:16" x14ac:dyDescent="0.25">
      <c r="B35" s="1">
        <v>30</v>
      </c>
      <c r="D35" s="111" t="str">
        <f t="shared" si="0"/>
        <v>SATEC_P18_Q14_IN_IV.AI_00030_</v>
      </c>
      <c r="H35" s="111"/>
      <c r="N35" s="1">
        <v>30</v>
      </c>
      <c r="O35" s="1" t="s">
        <v>417</v>
      </c>
      <c r="P35" s="1" t="str">
        <f t="shared" si="3"/>
        <v>DRMCC_RE97_27_DNP.AI_00030_MINUTE_FROM_DRMCC</v>
      </c>
    </row>
    <row r="36" spans="2:16" x14ac:dyDescent="0.25">
      <c r="N36" s="1">
        <v>31</v>
      </c>
      <c r="O36" s="1" t="s">
        <v>418</v>
      </c>
      <c r="P36" s="1" t="str">
        <f t="shared" si="3"/>
        <v>DRMCC_RE97_27_DNP.AI_00031_MONTH_OF_LAST_MEASUREMENT</v>
      </c>
    </row>
    <row r="37" spans="2:16" x14ac:dyDescent="0.25">
      <c r="N37" s="1">
        <v>32</v>
      </c>
      <c r="O37" s="1" t="s">
        <v>419</v>
      </c>
      <c r="P37" s="1" t="str">
        <f t="shared" si="3"/>
        <v>DRMCC_RE97_27_DNP.AI_00032_DAY_OF_LAST_MEASUREMENT</v>
      </c>
    </row>
    <row r="38" spans="2:16" x14ac:dyDescent="0.25">
      <c r="N38" s="1">
        <v>33</v>
      </c>
      <c r="O38" s="1" t="s">
        <v>420</v>
      </c>
      <c r="P38" s="1" t="str">
        <f t="shared" si="3"/>
        <v>DRMCC_RE97_27_DNP.AI_00033_YEAR_OF_LAST_MEASUREMENT</v>
      </c>
    </row>
    <row r="39" spans="2:16" x14ac:dyDescent="0.25">
      <c r="N39" s="1">
        <v>34</v>
      </c>
      <c r="O39" s="1" t="s">
        <v>421</v>
      </c>
      <c r="P39" s="1" t="str">
        <f t="shared" si="3"/>
        <v>DRMCC_RE97_27_DNP.AI_00034_HOUR_OF_LAST_MEASUREMENT</v>
      </c>
    </row>
    <row r="40" spans="2:16" x14ac:dyDescent="0.25">
      <c r="N40" s="1">
        <v>35</v>
      </c>
      <c r="O40" s="1" t="s">
        <v>422</v>
      </c>
      <c r="P40" s="1" t="str">
        <f t="shared" si="3"/>
        <v>DRMCC_RE97_27_DNP.AI_00035_MINUTE_OF_LAST_MEASUREMENT</v>
      </c>
    </row>
    <row r="41" spans="2:16" x14ac:dyDescent="0.25">
      <c r="N41" s="1">
        <v>36</v>
      </c>
      <c r="O41" s="1" t="s">
        <v>423</v>
      </c>
      <c r="P41" s="1" t="str">
        <f t="shared" si="3"/>
        <v>DRMCC_RE97_27_DNP.AI_00036_OIL_TEMP_AT_TIME_OF_MEASUREMENT</v>
      </c>
    </row>
    <row r="42" spans="2:16" x14ac:dyDescent="0.25">
      <c r="N42" s="1">
        <v>37</v>
      </c>
      <c r="O42" s="1" t="s">
        <v>424</v>
      </c>
      <c r="P42" s="1" t="str">
        <f t="shared" si="3"/>
        <v>DRMCC_RE97_27_DNP.AI_00037_DEVICE_MEASURING_ERROR</v>
      </c>
    </row>
    <row r="43" spans="2:16" x14ac:dyDescent="0.25">
      <c r="N43" s="1">
        <v>38</v>
      </c>
      <c r="O43" s="1" t="s">
        <v>425</v>
      </c>
      <c r="P43" s="1" t="str">
        <f t="shared" si="3"/>
        <v>DRMCC_RE97_27_DNP.AI_00038_DEVICE_ALARM_STATUS</v>
      </c>
    </row>
    <row r="44" spans="2:16" x14ac:dyDescent="0.25">
      <c r="N44" s="1">
        <v>39</v>
      </c>
      <c r="O44" s="1" t="s">
        <v>426</v>
      </c>
      <c r="P44" s="1" t="str">
        <f t="shared" si="3"/>
        <v>DRMCC_RE97_27_DNP.AI_00039_SET_1_DIS_EN</v>
      </c>
    </row>
    <row r="45" spans="2:16" x14ac:dyDescent="0.25">
      <c r="N45" s="1">
        <v>40</v>
      </c>
      <c r="O45" s="1" t="s">
        <v>427</v>
      </c>
      <c r="P45" s="1" t="str">
        <f t="shared" si="3"/>
        <v>DRMCC_RE97_27_DNP.AI_00040_SET_2_DIS_EN</v>
      </c>
    </row>
    <row r="46" spans="2:16" x14ac:dyDescent="0.25">
      <c r="N46" s="1">
        <v>41</v>
      </c>
      <c r="O46" s="1" t="s">
        <v>428</v>
      </c>
      <c r="P46" s="1" t="str">
        <f t="shared" si="3"/>
        <v>DRMCC_RE97_27_DNP.AI_00041_SET_1_ALARM_ON_CURRENT_IMBALANCE_MAGNITUDE</v>
      </c>
    </row>
    <row r="47" spans="2:16" x14ac:dyDescent="0.25">
      <c r="N47" s="1">
        <v>42</v>
      </c>
      <c r="O47" s="1" t="s">
        <v>429</v>
      </c>
      <c r="P47" s="1" t="str">
        <f t="shared" si="3"/>
        <v>DRMCC_RE97_27_DNP.AI_00042_SET_2_ALARM_ON_CURRENT_IMBALANCE_MAGNITUDE</v>
      </c>
    </row>
    <row r="48" spans="2:16" x14ac:dyDescent="0.25">
      <c r="N48" s="1">
        <v>43</v>
      </c>
      <c r="O48" s="1" t="s">
        <v>430</v>
      </c>
      <c r="P48" s="1" t="str">
        <f t="shared" si="3"/>
        <v>DRMCC_RE97_27_DNP.AI_00043_SET_1_SUM_CURRENT_IMBALANCE</v>
      </c>
    </row>
    <row r="49" spans="14:16" x14ac:dyDescent="0.25">
      <c r="N49" s="1">
        <v>44</v>
      </c>
      <c r="O49" s="1" t="s">
        <v>431</v>
      </c>
      <c r="P49" s="1" t="str">
        <f t="shared" si="3"/>
        <v>DRMCC_RE97_27_DNP.AI_00044_SET_2_SUM_CURRENT_IMBALANCE</v>
      </c>
    </row>
    <row r="50" spans="14:16" x14ac:dyDescent="0.25">
      <c r="N50" s="1">
        <v>45</v>
      </c>
      <c r="O50" s="1" t="s">
        <v>432</v>
      </c>
      <c r="P50" s="1" t="str">
        <f t="shared" si="3"/>
        <v>DRMCC_RE97_27_DNP.AI_00045_SET_1_VECTOR_IMBALANCE</v>
      </c>
    </row>
    <row r="51" spans="14:16" x14ac:dyDescent="0.25">
      <c r="N51" s="1">
        <v>46</v>
      </c>
      <c r="O51" s="1" t="s">
        <v>433</v>
      </c>
      <c r="P51" s="1" t="str">
        <f t="shared" si="3"/>
        <v>DRMCC_RE97_27_DNP.AI_00046_SET_2_VECTOR_IMBALANCE</v>
      </c>
    </row>
    <row r="52" spans="14:16" x14ac:dyDescent="0.25">
      <c r="N52" s="1">
        <v>47</v>
      </c>
      <c r="O52" s="1" t="s">
        <v>434</v>
      </c>
      <c r="P52" s="1" t="str">
        <f t="shared" si="3"/>
        <v>DRMCC_RE97_27_DNP.AI_00047_SET_1_SUM_CURRENT_TREND</v>
      </c>
    </row>
    <row r="53" spans="14:16" x14ac:dyDescent="0.25">
      <c r="N53" s="1">
        <v>48</v>
      </c>
      <c r="O53" s="1" t="s">
        <v>435</v>
      </c>
      <c r="P53" s="1" t="str">
        <f t="shared" si="3"/>
        <v>DRMCC_RE97_27_DNP.AI_00048_SET_2_SUM_CURRENT_TREND</v>
      </c>
    </row>
    <row r="54" spans="14:16" x14ac:dyDescent="0.25">
      <c r="N54" s="1">
        <v>49</v>
      </c>
      <c r="O54" s="1" t="s">
        <v>436</v>
      </c>
      <c r="P54" s="1" t="str">
        <f t="shared" si="3"/>
        <v>DRMCC_RE97_27_DNP.AI_00049_SET_1_MAGNITUDE_TEMP_DEP</v>
      </c>
    </row>
    <row r="55" spans="14:16" x14ac:dyDescent="0.25">
      <c r="N55" s="1">
        <v>50</v>
      </c>
      <c r="O55" s="1" t="s">
        <v>437</v>
      </c>
      <c r="P55" s="1" t="str">
        <f t="shared" si="3"/>
        <v>DRMCC_RE97_27_DNP.AI_00050_SET_2_MAGNITUDE_TEMP_DEP</v>
      </c>
    </row>
    <row r="56" spans="14:16" x14ac:dyDescent="0.25">
      <c r="N56" s="1">
        <v>51</v>
      </c>
      <c r="O56" s="1" t="s">
        <v>438</v>
      </c>
      <c r="P56" s="1" t="str">
        <f t="shared" si="3"/>
        <v>DRMCC_RE97_27_DNP.AI_00051_SET_1_VECTOR_TEMP_DEP</v>
      </c>
    </row>
    <row r="57" spans="14:16" x14ac:dyDescent="0.25">
      <c r="N57" s="1">
        <v>52</v>
      </c>
      <c r="O57" s="1" t="s">
        <v>439</v>
      </c>
      <c r="P57" s="1" t="str">
        <f t="shared" si="3"/>
        <v>DRMCC_RE97_27_DNP.AI_00052_SET_2_VECTOR_TEMP_DEP</v>
      </c>
    </row>
    <row r="58" spans="14:16" x14ac:dyDescent="0.25">
      <c r="N58" s="1">
        <v>53</v>
      </c>
      <c r="O58" s="1" t="s">
        <v>440</v>
      </c>
      <c r="P58" s="1" t="str">
        <f t="shared" si="3"/>
        <v>DRMCC_RE97_27_DNP.AI_00053_SET_1_BUSH_1_POWER_FACTOR</v>
      </c>
    </row>
    <row r="59" spans="14:16" x14ac:dyDescent="0.25">
      <c r="N59" s="1">
        <v>54</v>
      </c>
      <c r="O59" s="1" t="s">
        <v>441</v>
      </c>
      <c r="P59" s="1" t="str">
        <f t="shared" si="3"/>
        <v>DRMCC_RE97_27_DNP.AI_00054_SET_1_BUSH_1_CAPACITANCE</v>
      </c>
    </row>
    <row r="60" spans="14:16" x14ac:dyDescent="0.25">
      <c r="N60" s="1">
        <v>55</v>
      </c>
      <c r="O60" s="1" t="s">
        <v>442</v>
      </c>
      <c r="P60" s="1" t="str">
        <f t="shared" si="3"/>
        <v>DRMCC_RE97_27_DNP.AI_00055_SET_1_BUSH_2_POWER_FACTOR</v>
      </c>
    </row>
    <row r="61" spans="14:16" x14ac:dyDescent="0.25">
      <c r="N61" s="1">
        <v>56</v>
      </c>
      <c r="O61" s="1" t="s">
        <v>443</v>
      </c>
      <c r="P61" s="1" t="str">
        <f t="shared" si="3"/>
        <v>DRMCC_RE97_27_DNP.AI_00056_SET_1_BUSH_2_CAPACITANCE</v>
      </c>
    </row>
    <row r="62" spans="14:16" x14ac:dyDescent="0.25">
      <c r="N62" s="1">
        <v>57</v>
      </c>
      <c r="O62" s="1" t="s">
        <v>444</v>
      </c>
      <c r="P62" s="1" t="str">
        <f t="shared" si="3"/>
        <v>DRMCC_RE97_27_DNP.AI_00057_SET_1_BUSH_3_POWER_FACTOR</v>
      </c>
    </row>
    <row r="63" spans="14:16" x14ac:dyDescent="0.25">
      <c r="N63" s="1">
        <v>58</v>
      </c>
      <c r="O63" s="1" t="s">
        <v>445</v>
      </c>
      <c r="P63" s="1" t="str">
        <f t="shared" si="3"/>
        <v>DRMCC_RE97_27_DNP.AI_00058_SET_1_BUSH_3_CAPACITANCE</v>
      </c>
    </row>
    <row r="64" spans="14:16" x14ac:dyDescent="0.25">
      <c r="N64" s="1">
        <v>59</v>
      </c>
      <c r="O64" s="1" t="s">
        <v>446</v>
      </c>
      <c r="P64" s="1" t="str">
        <f t="shared" si="3"/>
        <v>DRMCC_RE97_27_DNP.AI_00059_SET_2_BUSH_1_POWER_FACTOR</v>
      </c>
    </row>
    <row r="65" spans="14:16" x14ac:dyDescent="0.25">
      <c r="N65" s="1">
        <v>60</v>
      </c>
      <c r="O65" s="1" t="s">
        <v>447</v>
      </c>
      <c r="P65" s="1" t="str">
        <f t="shared" si="3"/>
        <v>DRMCC_RE97_27_DNP.AI_00060_SET_2_BUSH_1_CAPACITANCE</v>
      </c>
    </row>
    <row r="66" spans="14:16" x14ac:dyDescent="0.25">
      <c r="N66" s="1">
        <v>61</v>
      </c>
      <c r="O66" s="1" t="s">
        <v>448</v>
      </c>
      <c r="P66" s="1" t="str">
        <f t="shared" si="3"/>
        <v>DRMCC_RE97_27_DNP.AI_00061_SET_2_BUSH_2_POWER_FACTOR</v>
      </c>
    </row>
    <row r="67" spans="14:16" x14ac:dyDescent="0.25">
      <c r="N67" s="1">
        <v>62</v>
      </c>
      <c r="O67" s="1" t="s">
        <v>449</v>
      </c>
      <c r="P67" s="1" t="str">
        <f t="shared" si="3"/>
        <v>DRMCC_RE97_27_DNP.AI_00062_SET_2_BUSH_2_CAPACITANCE</v>
      </c>
    </row>
    <row r="68" spans="14:16" x14ac:dyDescent="0.25">
      <c r="N68" s="1">
        <v>63</v>
      </c>
      <c r="O68" s="1" t="s">
        <v>450</v>
      </c>
      <c r="P68" s="1" t="str">
        <f t="shared" si="3"/>
        <v>DRMCC_RE97_27_DNP.AI_00063_SET_2_BUSH_3_POWER_FACTOR</v>
      </c>
    </row>
    <row r="69" spans="14:16" x14ac:dyDescent="0.25">
      <c r="N69" s="1">
        <v>64</v>
      </c>
      <c r="O69" s="1" t="s">
        <v>451</v>
      </c>
      <c r="P69" s="1" t="str">
        <f t="shared" si="3"/>
        <v>DRMCC_RE97_27_DNP.AI_00064_SET_2_BUSH_3_CAPACITANCE</v>
      </c>
    </row>
    <row r="70" spans="14:16" x14ac:dyDescent="0.25">
      <c r="N70" s="1">
        <v>65</v>
      </c>
      <c r="O70" s="1" t="s">
        <v>452</v>
      </c>
      <c r="P70" s="1" t="str">
        <f t="shared" ref="P70:P72" si="5">CONCATENATE($O$1, ".", $O$2, "_", TEXT(N70, "00000"), "_",O70)</f>
        <v>DRMCC_RE97_27_DNP.AI_00065_MIDDLE_OIL_TEMPERATURE</v>
      </c>
    </row>
    <row r="71" spans="14:16" x14ac:dyDescent="0.25">
      <c r="N71" s="1">
        <v>66</v>
      </c>
      <c r="O71" s="1" t="s">
        <v>453</v>
      </c>
      <c r="P71" s="1" t="str">
        <f t="shared" si="5"/>
        <v>DRMCC_RE97_27_DNP.AI_00066_H0X0_PHASE_LOAD_CURRENT</v>
      </c>
    </row>
    <row r="72" spans="14:16" x14ac:dyDescent="0.25">
      <c r="N72" s="1">
        <v>67</v>
      </c>
      <c r="O72" s="1" t="s">
        <v>454</v>
      </c>
      <c r="P72" s="1" t="str">
        <f t="shared" si="5"/>
        <v>DRMCC_RE97_27_DNP.AI_00067_COOLER_GROUP_CURRENT</v>
      </c>
    </row>
  </sheetData>
  <dataValidations disablePrompts="1" count="1">
    <dataValidation type="list" allowBlank="1" showInputMessage="1" showErrorMessage="1" sqref="O2 C2 G2 K2 K16" xr:uid="{00000000-0002-0000-1700-000000000000}">
      <formula1>$A$1:$A$7</formula1>
    </dataValidation>
  </dataValidations>
  <pageMargins left="0.7" right="0.7" top="0.75" bottom="0.75" header="0.3" footer="0.3"/>
  <pageSetup paperSize="1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Rev</vt:lpstr>
      <vt:lpstr>SettingsTab</vt:lpstr>
      <vt:lpstr>General</vt:lpstr>
      <vt:lpstr>ASE Settings</vt:lpstr>
      <vt:lpstr>DNP DCA</vt:lpstr>
      <vt:lpstr>DNP DPA</vt:lpstr>
      <vt:lpstr>Calculator</vt:lpstr>
      <vt:lpstr>Comm WD</vt:lpstr>
      <vt:lpstr>Wesmaint II</vt:lpstr>
      <vt:lpstr>Bridgeman</vt:lpstr>
      <vt:lpstr>DNP Data Link</vt:lpstr>
      <vt:lpstr>Harris DCA</vt:lpstr>
      <vt:lpstr>System Point Database</vt:lpstr>
      <vt:lpstr>General Settings</vt:lpstr>
      <vt:lpstr>Client Devices</vt:lpstr>
      <vt:lpstr>Server Devices</vt:lpstr>
      <vt:lpstr>DNP Map</vt:lpstr>
      <vt:lpstr>User Logic</vt:lpstr>
      <vt:lpstr>Axion</vt:lpstr>
      <vt:lpstr>Access Point</vt:lpstr>
      <vt:lpstr>Tag Processor</vt:lpstr>
      <vt:lpstr>HMI Settings</vt:lpstr>
      <vt:lpstr>HMI Pages</vt:lpstr>
      <vt:lpstr>Tag Builder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Boatwright, Zachary (Zack)</dc:creator>
  <cp:lastModifiedBy>Liska, Michael E (Mike)</cp:lastModifiedBy>
  <dcterms:created xsi:type="dcterms:W3CDTF">2018-07-30T13:16:36Z</dcterms:created>
  <dcterms:modified xsi:type="dcterms:W3CDTF">2019-02-18T16:26:02Z</dcterms:modified>
</cp:coreProperties>
</file>