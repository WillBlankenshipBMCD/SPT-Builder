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Z:\Clients\TND\FirstEnr\82568_EtfScadaSupprt\QC\Design\Q4\Tom's River - JC\20190930 - Cellular IP - RSS\1 - Deliverables\"/>
    </mc:Choice>
  </mc:AlternateContent>
  <xr:revisionPtr revIDLastSave="0" documentId="13_ncr:1_{4F790E88-8579-4C2F-8FDD-E6D0DB13D4F4}" xr6:coauthVersionLast="44" xr6:coauthVersionMax="44" xr10:uidLastSave="{00000000-0000-0000-0000-000000000000}"/>
  <bookViews>
    <workbookView xWindow="-19310" yWindow="3820" windowWidth="19420" windowHeight="1102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2" i="21" l="1"/>
  <c r="D22" i="21"/>
  <c r="H6" i="11" l="1"/>
  <c r="H10" i="11"/>
  <c r="H9" i="11"/>
  <c r="H8" i="11"/>
  <c r="H7" i="11"/>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1" i="21" l="1"/>
  <c r="I54" i="13" l="1"/>
  <c r="H54" i="13"/>
  <c r="G54" i="13"/>
  <c r="F54" i="13"/>
  <c r="I53" i="13"/>
  <c r="H53" i="13"/>
  <c r="G53" i="13"/>
  <c r="F53" i="13"/>
  <c r="I52" i="13"/>
  <c r="I56" i="13" s="1"/>
  <c r="H52" i="13"/>
  <c r="G52" i="13"/>
  <c r="G56" i="13" s="1"/>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I42" i="13" s="1"/>
  <c r="H38" i="13"/>
  <c r="G38" i="13"/>
  <c r="G42" i="13" s="1"/>
  <c r="F38" i="13"/>
  <c r="I33" i="13"/>
  <c r="H33" i="13"/>
  <c r="G33" i="13"/>
  <c r="F33" i="13"/>
  <c r="I32" i="13"/>
  <c r="H32" i="13"/>
  <c r="G32" i="13"/>
  <c r="F32" i="13"/>
  <c r="I31" i="13"/>
  <c r="I35" i="13" s="1"/>
  <c r="H31" i="13"/>
  <c r="G31" i="13"/>
  <c r="F31" i="13"/>
  <c r="I26" i="13"/>
  <c r="H26" i="13"/>
  <c r="G26" i="13"/>
  <c r="F26" i="13"/>
  <c r="I25" i="13"/>
  <c r="H25" i="13"/>
  <c r="G25" i="13"/>
  <c r="F25" i="13"/>
  <c r="I24" i="13"/>
  <c r="I28" i="13" s="1"/>
  <c r="H24" i="13"/>
  <c r="G24" i="13"/>
  <c r="G28" i="13" s="1"/>
  <c r="F24" i="13"/>
  <c r="F19" i="13"/>
  <c r="G35" i="13" l="1"/>
  <c r="F49" i="13"/>
  <c r="F56" i="13"/>
  <c r="H56" i="13"/>
  <c r="H42" i="13"/>
  <c r="F42" i="13"/>
  <c r="H35" i="13"/>
  <c r="F35" i="13"/>
  <c r="H28" i="13"/>
  <c r="F28" i="13"/>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<sst xmlns="http://schemas.openxmlformats.org/spreadsheetml/2006/main" count="1460" uniqueCount="1019">
  <si>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</si>
  <si>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</si>
  <si>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</si>
  <si>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</si>
  <si>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</si>
  <si>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</si>
  <si>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</si>
  <si>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</si>
  <si>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</si>
  <si>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</si>
  <si>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</si>
  <si>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</si>
  <si>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</si>
  <si>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</si>
  <si>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</si>
  <si>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</si>
  <si>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</si>
  <si>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</si>
  <si>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</si>
  <si>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</si>
  <si>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</si>
  <si>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</si>
  <si>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</si>
  <si>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</si>
  <si>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</si>
  <si>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</si>
  <si>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</si>
  <si>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</si>
  <si>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</si>
  <si>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</si>
  <si>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</si>
  <si>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</si>
  <si>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</si>
  <si>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</si>
  <si>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</si>
  <si>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</si>
  <si>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</si>
  <si>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</si>
  <si>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</si>
  <si>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</si>
  <si>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</si>
  <si>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</si>
  <si>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</si>
  <si>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</si>
  <si>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</si>
  <si>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</si>
  <si>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</si>
  <si>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</si>
  <si>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</si>
  <si>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</si>
  <si>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</si>
  <si>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</si>
  <si>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</si>
  <si>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</si>
  <si>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</si>
  <si>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</si>
  <si>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</si>
  <si>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</si>
  <si>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</si>
  <si>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</si>
  <si>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</si>
  <si>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</si>
  <si>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</si>
  <si>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</si>
  <si>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</si>
  <si>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</si>
  <si>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</si>
  <si>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</si>
  <si>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</si>
  <si>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</si>
  <si>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</si>
  <si>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</si>
  <si>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</si>
  <si>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</si>
  <si>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</si>
  <si>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</si>
  <si>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</si>
  <si>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</si>
  <si>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</si>
  <si>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</si>
  <si>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</si>
  <si>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</si>
  <si>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</si>
  <si>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</si>
  <si>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</si>
  <si>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</si>
  <si>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</si>
  <si>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</si>
  <si>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</si>
  <si>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</si>
  <si>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</si>
  <si>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</si>
  <si>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</si>
  <si>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</si>
  <si>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</si>
  <si>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</si>
  <si>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</si>
  <si>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</si>
  <si>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</si>
  <si>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</si>
  <si>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</si>
  <si>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</si>
  <si>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</si>
  <si>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</si>
  <si>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</si>
  <si>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</si>
  <si>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</si>
  <si>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</si>
  <si>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</si>
  <si>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</si>
  <si>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</si>
  <si>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</si>
  <si>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</si>
  <si>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</si>
  <si>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</si>
  <si>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</si>
  <si>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</si>
  <si>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</si>
  <si>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</si>
  <si>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</si>
  <si>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</si>
  <si>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</si>
  <si>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</si>
  <si>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</si>
  <si>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</si>
  <si>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</si>
  <si>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</si>
  <si>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</si>
  <si>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</si>
  <si>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</si>
  <si>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</si>
  <si>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</si>
  <si>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</si>
  <si>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</si>
  <si>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</si>
  <si>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</si>
  <si>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</si>
  <si>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</si>
  <si>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</si>
  <si>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</si>
  <si>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</si>
  <si>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</si>
  <si>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</si>
  <si>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</si>
  <si>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</si>
  <si>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</si>
  <si>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</si>
  <si>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</si>
  <si>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</si>
  <si>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</si>
  <si>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</si>
  <si>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</si>
  <si>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</si>
  <si>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</si>
  <si>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</si>
  <si>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</si>
  <si>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</si>
  <si>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</si>
  <si>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</si>
  <si>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</si>
  <si>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</si>
  <si>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</si>
  <si>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</si>
  <si>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</si>
  <si>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</si>
  <si>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</si>
  <si>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</si>
  <si>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</si>
  <si>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</si>
  <si>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</si>
  <si>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</si>
  <si>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</si>
  <si>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</si>
  <si>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</si>
  <si>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</si>
  <si>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</si>
  <si>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</si>
  <si>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</si>
  <si>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</si>
  <si>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</si>
  <si>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</si>
  <si>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</si>
  <si>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</si>
  <si>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</si>
  <si>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</si>
  <si>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</si>
  <si>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</si>
  <si>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</si>
  <si>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</si>
  <si>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</si>
  <si>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</si>
  <si>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</si>
  <si>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</si>
  <si>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</si>
  <si>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</si>
  <si>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</si>
  <si>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</si>
  <si>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</si>
  <si>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</si>
  <si>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</si>
  <si>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</si>
  <si>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</si>
  <si>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</si>
  <si>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</si>
  <si>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</si>
  <si>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</si>
  <si>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</si>
  <si>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</si>
  <si>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</si>
  <si>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</si>
  <si>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</si>
  <si>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</si>
  <si>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</si>
  <si>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</si>
  <si>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</si>
  <si>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</si>
  <si>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</si>
  <si>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</si>
  <si>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</si>
  <si>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</si>
  <si>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</si>
  <si>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</si>
  <si>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</si>
  <si>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</si>
  <si>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</si>
  <si>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</si>
  <si>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</si>
  <si>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</si>
  <si>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</si>
  <si>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</si>
  <si>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</si>
  <si>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</si>
  <si>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</si>
  <si>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</si>
  <si>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</si>
  <si>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</si>
  <si>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</si>
  <si>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</si>
  <si>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</si>
  <si>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</si>
  <si>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</si>
  <si>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</si>
  <si>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</si>
  <si>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</si>
  <si>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</si>
  <si>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</si>
  <si>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</si>
  <si>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</si>
  <si>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</si>
  <si>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</si>
  <si>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</si>
  <si>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</si>
  <si>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</si>
  <si>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</si>
  <si>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</si>
  <si>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</si>
  <si>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</si>
  <si>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</si>
  <si>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</si>
  <si>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</si>
  <si>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</si>
  <si>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</si>
  <si>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</si>
  <si>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</si>
  <si>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</si>
  <si>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</si>
  <si>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</si>
  <si>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</si>
  <si>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</si>
  <si>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</si>
  <si>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</si>
  <si>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</si>
  <si>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</si>
  <si>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</si>
  <si>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</si>
  <si>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</si>
  <si>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</si>
  <si>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</si>
  <si>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</si>
  <si>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</si>
  <si>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</si>
  <si>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</si>
  <si>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</si>
  <si>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</si>
  <si>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</si>
  <si>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</si>
  <si>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</si>
  <si>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</si>
  <si>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</si>
  <si>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</si>
  <si>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</si>
  <si>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</si>
  <si>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</si>
  <si>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</si>
  <si>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</si>
  <si>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</si>
  <si>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</si>
  <si>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</si>
  <si>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</si>
  <si>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</si>
  <si>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</si>
  <si>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</si>
  <si>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</si>
  <si>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</si>
  <si>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</si>
  <si>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</si>
  <si>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</si>
  <si>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</si>
  <si>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</si>
  <si>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</si>
  <si>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</si>
  <si>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</si>
  <si>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</si>
  <si>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</si>
  <si>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</si>
  <si>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</si>
  <si>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</si>
  <si>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</si>
  <si>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</si>
  <si>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</si>
  <si>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</si>
  <si>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</si>
  <si>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</si>
  <si>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</si>
  <si>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</si>
  <si>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</si>
  <si>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</si>
  <si>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</si>
  <si>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</si>
  <si>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</si>
  <si>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</si>
  <si>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</si>
  <si>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</si>
  <si>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</si>
  <si>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</si>
  <si>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</si>
  <si>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</si>
  <si>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</si>
  <si>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</si>
  <si>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</si>
  <si>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</si>
  <si>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</si>
  <si>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</si>
  <si>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</si>
  <si>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</si>
  <si>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</si>
  <si>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</si>
  <si>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</si>
  <si>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</si>
  <si>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</si>
  <si>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</si>
  <si>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</si>
  <si>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</si>
  <si>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</si>
  <si>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</si>
  <si>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</si>
  <si>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</si>
  <si>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</si>
  <si>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</si>
  <si>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</si>
  <si>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</si>
  <si>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</si>
  <si>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</si>
  <si>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</si>
  <si>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</si>
  <si>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</si>
  <si>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</si>
  <si>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</si>
  <si>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</si>
  <si>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</si>
  <si>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</si>
  <si>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</si>
  <si>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</si>
  <si>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</si>
  <si>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</si>
  <si>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</si>
  <si>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</si>
  <si>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</si>
  <si>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</si>
  <si>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</si>
  <si>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</si>
  <si>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</si>
  <si>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</si>
  <si>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</si>
  <si>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</si>
  <si>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</si>
  <si>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</si>
  <si>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</si>
  <si>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</si>
  <si>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</si>
  <si>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</si>
  <si>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</si>
  <si>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</si>
  <si>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</si>
  <si>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</si>
  <si>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</si>
  <si>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</si>
  <si>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</si>
  <si>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</si>
  <si>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</si>
  <si>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</si>
  <si>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</si>
  <si>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</si>
  <si>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</si>
  <si>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</si>
  <si>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</si>
  <si>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</si>
  <si>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</si>
  <si>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</si>
  <si>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</si>
  <si>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</si>
  <si>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</si>
  <si>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</si>
  <si>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</si>
  <si>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</si>
  <si>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</si>
  <si>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</si>
  <si>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</si>
  <si>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</si>
  <si>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</si>
  <si>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</si>
  <si>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</si>
  <si>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</si>
  <si>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</si>
  <si>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</si>
  <si>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</si>
  <si>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</si>
  <si>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</si>
  <si>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</si>
  <si>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</si>
  <si>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</si>
  <si>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</si>
  <si>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</si>
  <si>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</si>
  <si>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</si>
  <si>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</si>
  <si>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</si>
  <si>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</si>
  <si>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</si>
  <si>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</si>
  <si>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</si>
  <si>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</si>
  <si>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</si>
  <si>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</si>
  <si>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</si>
  <si>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</si>
  <si>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</si>
  <si>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</si>
  <si>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</si>
  <si>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</si>
  <si>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</si>
  <si>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</si>
  <si>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</si>
  <si>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</si>
  <si>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</si>
  <si>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</si>
  <si>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</si>
  <si>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</si>
  <si>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</si>
  <si>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</si>
  <si>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</si>
  <si>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</si>
  <si>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</si>
  <si>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</si>
  <si>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</si>
  <si>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</si>
  <si>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</si>
  <si>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</si>
  <si>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</si>
  <si>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</si>
  <si>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</si>
  <si>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</si>
  <si>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</si>
  <si>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</si>
  <si>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</si>
  <si>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</si>
  <si>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</si>
  <si>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</si>
  <si>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</si>
  <si>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</si>
  <si>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</si>
  <si>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</si>
  <si>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</si>
  <si>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</si>
  <si>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</si>
  <si>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</si>
  <si>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</si>
  <si>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</si>
  <si>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</si>
  <si>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</si>
  <si>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</si>
  <si>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</si>
  <si>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</si>
  <si>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</si>
  <si>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</si>
  <si>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</si>
  <si>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</si>
  <si>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</si>
  <si>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</si>
  <si>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</si>
  <si>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</si>
  <si>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</si>
  <si>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</si>
  <si>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</si>
  <si>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</si>
  <si>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</si>
  <si>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</si>
  <si>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</si>
  <si>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</si>
  <si>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</si>
  <si>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</si>
  <si>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</si>
  <si>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</si>
  <si>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</si>
  <si>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</si>
  <si>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</si>
  <si>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</si>
  <si>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</si>
  <si>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</si>
  <si>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</si>
  <si>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</si>
  <si>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</si>
  <si>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</si>
  <si>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</si>
  <si>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</si>
  <si>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</si>
  <si>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</si>
  <si>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</si>
  <si>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</si>
  <si>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</si>
  <si>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</si>
  <si>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</si>
  <si>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</si>
  <si>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</si>
  <si>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</si>
  <si>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</si>
  <si>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</si>
  <si>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</si>
  <si>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</si>
  <si>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</si>
  <si>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</si>
  <si>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</si>
  <si>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</si>
  <si>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</si>
  <si>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</si>
  <si>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</si>
  <si>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</si>
  <si>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</si>
  <si>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</si>
  <si>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</si>
  <si>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</si>
  <si>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</si>
  <si>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</si>
  <si>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</si>
  <si>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</si>
  <si>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</si>
  <si>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</si>
  <si>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</si>
  <si>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</si>
  <si>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</si>
  <si>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</si>
  <si>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</si>
  <si>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</si>
  <si>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</si>
  <si>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</si>
  <si>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</si>
  <si>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</si>
  <si>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</si>
  <si>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</si>
  <si>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</si>
  <si>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</si>
  <si>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</si>
  <si>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</si>
  <si>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</si>
  <si>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</si>
  <si>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</si>
  <si>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</si>
  <si>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</si>
  <si>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</si>
  <si>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</si>
  <si>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</si>
  <si>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</si>
  <si>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</si>
  <si>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</si>
  <si>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</si>
  <si>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</si>
  <si>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</si>
  <si>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</si>
  <si>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</si>
  <si>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</si>
  <si>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</si>
  <si>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</si>
  <si>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</si>
  <si>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</si>
  <si>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</si>
  <si>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</si>
  <si>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</si>
  <si>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</si>
  <si>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</si>
  <si>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</si>
  <si>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</si>
  <si>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</si>
  <si>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</si>
  <si>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</si>
  <si>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</si>
  <si>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</si>
  <si>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</si>
  <si>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</si>
  <si>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</si>
  <si>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</si>
  <si>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</si>
  <si>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</si>
  <si>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</si>
  <si>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</si>
  <si>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</si>
  <si>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</si>
  <si>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</si>
  <si>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</si>
  <si>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</si>
  <si>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</si>
  <si>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</si>
  <si>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</si>
  <si>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</si>
  <si>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</si>
  <si>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</si>
  <si>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</si>
  <si>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</si>
  <si>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</si>
  <si>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</si>
  <si>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</si>
  <si>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</si>
  <si>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</si>
  <si>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</si>
  <si>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</si>
  <si>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</si>
  <si>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</si>
  <si>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</si>
  <si>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</si>
  <si>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</si>
  <si>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</si>
  <si>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</si>
  <si>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</si>
  <si>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</si>
  <si>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</si>
  <si>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</si>
  <si>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</si>
  <si>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</si>
  <si>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</si>
  <si>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</si>
  <si>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</si>
  <si>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</si>
  <si>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</si>
  <si>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</si>
  <si>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</si>
  <si>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</si>
  <si>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</si>
  <si>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</si>
  <si>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</si>
  <si>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</si>
  <si>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</si>
  <si>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</si>
  <si>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</si>
  <si>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</si>
  <si>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</si>
  <si>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</si>
  <si>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</si>
  <si>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</si>
  <si>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</si>
  <si>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</si>
  <si>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</si>
  <si>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</si>
  <si>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</si>
  <si>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</si>
  <si>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</si>
  <si>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</si>
  <si>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</si>
  <si>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</si>
  <si>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</si>
  <si>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</si>
  <si>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</si>
  <si>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</si>
  <si>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</si>
  <si>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</si>
  <si>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</si>
  <si>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</si>
  <si>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</si>
  <si>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</si>
  <si>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</si>
  <si>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</si>
  <si>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</si>
  <si>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</si>
  <si>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</si>
  <si>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</si>
  <si>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</si>
  <si>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</si>
  <si>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</si>
  <si>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</si>
  <si>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</si>
  <si>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</si>
  <si>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</si>
  <si>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</si>
  <si>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</si>
  <si>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</si>
  <si>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</si>
  <si>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</si>
  <si>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</si>
  <si>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</si>
  <si>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</si>
  <si>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</si>
  <si>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</si>
  <si>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</si>
  <si>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</si>
  <si>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</si>
  <si>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</si>
  <si>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</si>
  <si>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</si>
  <si>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</si>
  <si>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</si>
  <si>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</si>
  <si>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</si>
  <si>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</si>
  <si>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</si>
  <si>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</si>
  <si>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</si>
  <si>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</si>
  <si>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</si>
  <si>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</si>
  <si>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</si>
  <si>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</si>
  <si>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</si>
  <si>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</si>
  <si>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</si>
  <si>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</si>
  <si>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</si>
  <si>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</si>
  <si>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</si>
  <si>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</si>
  <si>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</si>
  <si>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</si>
  <si>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</si>
  <si>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</si>
  <si>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</si>
  <si>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</si>
  <si>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</si>
  <si>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</si>
  <si>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</si>
  <si>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</si>
  <si>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</si>
  <si>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</si>
  <si>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</si>
  <si>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</si>
  <si>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</si>
  <si>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</si>
  <si>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</si>
  <si>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</si>
  <si>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</si>
  <si>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</si>
  <si>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</si>
  <si>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</si>
  <si>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</si>
  <si>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</si>
  <si>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</si>
  <si>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</si>
  <si>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</si>
  <si>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</si>
  <si>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</si>
  <si>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</si>
  <si>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</si>
  <si>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</si>
  <si>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</si>
  <si>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</si>
  <si>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</si>
  <si>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</si>
  <si>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</si>
  <si>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</si>
  <si>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</si>
  <si>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</si>
  <si>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</si>
  <si>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</si>
  <si>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</si>
  <si>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</si>
  <si>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</si>
  <si>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</si>
  <si>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</si>
  <si>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</si>
  <si>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</si>
  <si>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</si>
  <si>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</si>
  <si>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</si>
  <si>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</si>
  <si>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</si>
  <si>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</si>
  <si>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</si>
  <si>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</si>
  <si>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</si>
  <si>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</si>
  <si>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</si>
  <si>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</si>
  <si>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</si>
  <si>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</si>
  <si>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</si>
  <si>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</si>
  <si>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</si>
  <si>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</si>
  <si>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</si>
  <si>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</si>
  <si>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</si>
  <si>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</si>
  <si>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</si>
  <si>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</si>
  <si>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</si>
  <si>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</si>
  <si>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</si>
  <si>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</si>
  <si>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</si>
  <si>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</si>
  <si>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</si>
  <si>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</si>
  <si>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</si>
  <si>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</si>
  <si>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</si>
  <si>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</si>
  <si>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</si>
  <si>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</si>
  <si>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</si>
  <si>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</si>
  <si>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</si>
  <si>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</si>
  <si>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</si>
  <si>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</si>
  <si>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</si>
  <si>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</si>
  <si>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</si>
  <si>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</si>
  <si>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</si>
  <si>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</si>
  <si>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</si>
  <si>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</si>
  <si>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</si>
  <si>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</si>
  <si>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</si>
  <si>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</si>
  <si>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</si>
  <si>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</si>
  <si>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</si>
  <si>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</si>
  <si>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</si>
  <si>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</si>
  <si>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</si>
  <si>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</si>
  <si>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</si>
  <si>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</si>
  <si>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</si>
  <si>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</si>
  <si>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</si>
  <si>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</si>
  <si>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</si>
  <si>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</si>
  <si>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</si>
  <si>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</si>
  <si>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</si>
  <si>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</si>
  <si>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</si>
  <si>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</si>
  <si>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</si>
  <si>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</si>
  <si>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</si>
  <si>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</si>
  <si>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</si>
  <si>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</si>
  <si>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</si>
  <si>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</si>
  <si>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</si>
  <si>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</si>
  <si>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cldavis3</t>
  </si>
  <si>
    <t>meliska</t>
  </si>
  <si>
    <t>jmbivins</t>
  </si>
  <si>
    <t>ajeisenbeisz</t>
  </si>
  <si>
    <t>Adina Findlay</t>
  </si>
  <si>
    <t>Holly Riley</t>
  </si>
  <si>
    <t>Ian Smith</t>
  </si>
  <si>
    <t>Rusty Cooper</t>
  </si>
  <si>
    <t>Taylor Ronnei</t>
  </si>
  <si>
    <t>George Fan</t>
  </si>
  <si>
    <t>Alex Hansen</t>
  </si>
  <si>
    <t>Molly Vetsch</t>
  </si>
  <si>
    <t>John Thole</t>
  </si>
  <si>
    <t>Carl Breuninger</t>
  </si>
  <si>
    <t>Carli Davis</t>
  </si>
  <si>
    <t>Mike Liska</t>
  </si>
  <si>
    <t>Justin Bivins</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</si>
  <si>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</si>
  <si>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</si>
  <si>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</si>
  <si>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</si>
  <si>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</si>
  <si>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</si>
  <si>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</si>
  <si>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</si>
  <si>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</si>
  <si>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</si>
  <si>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</si>
  <si>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</si>
  <si>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</si>
  <si>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</si>
  <si>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</si>
  <si>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</si>
  <si>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</si>
  <si>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</si>
  <si>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</si>
  <si>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</si>
  <si>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</si>
  <si>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</si>
  <si>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</si>
  <si>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</si>
  <si>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</si>
  <si>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</si>
  <si>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</si>
  <si>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</si>
  <si>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</si>
  <si>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</si>
  <si>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</si>
  <si>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</si>
  <si>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</si>
  <si>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</si>
  <si>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</si>
  <si>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</si>
  <si>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</si>
  <si>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</si>
  <si>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</si>
  <si>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</si>
  <si>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</si>
  <si>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</si>
  <si>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</si>
  <si>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</si>
  <si>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</si>
  <si>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</si>
  <si>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</si>
  <si>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</si>
  <si>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</si>
  <si>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</si>
  <si>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</si>
  <si>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</si>
  <si>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</si>
  <si>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</si>
  <si>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</si>
  <si>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</si>
  <si>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</si>
  <si>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</si>
  <si>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</si>
  <si>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</si>
  <si>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</si>
  <si>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</si>
  <si>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</si>
  <si>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</si>
  <si>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</si>
  <si>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</si>
  <si>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</si>
  <si>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</si>
  <si>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</si>
  <si>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</si>
  <si>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</si>
  <si>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</si>
  <si>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</si>
  <si>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</si>
  <si>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</si>
  <si>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</si>
  <si>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</si>
  <si>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</si>
  <si>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</si>
  <si>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Opject Internal Indications</t>
  </si>
  <si>
    <t>DI 0 should be COMM Failure</t>
  </si>
  <si>
    <t>The SPT comm fail should be using "COMM Failure"</t>
  </si>
  <si>
    <t>ALTOONA_SAM_REV_A.SAM</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</si>
  <si>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</si>
  <si>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</si>
  <si>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</si>
  <si>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</si>
  <si>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</si>
  <si>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</si>
  <si>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</si>
  <si>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</si>
  <si>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</si>
  <si>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</si>
  <si>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</si>
  <si>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</si>
  <si>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</si>
  <si>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</si>
  <si>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</si>
  <si>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</si>
  <si>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</si>
  <si>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</si>
  <si>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</si>
  <si>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</si>
  <si>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</si>
  <si>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</si>
  <si>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</si>
  <si>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U</t>
  </si>
  <si>
    <t>Added Justin for QC email</t>
  </si>
  <si>
    <t>V</t>
  </si>
  <si>
    <t>PostTransmissionDelay/PreTransmissionDelay</t>
  </si>
  <si>
    <t>Added SPT field for checking Pre/Post Transmission Delay</t>
  </si>
  <si>
    <t>Post - 1, Pre - 20</t>
  </si>
  <si>
    <t>Match the port number / Ensure no letters.  If deleting "D", make sure the leading space is removed as well IE " D"</t>
  </si>
  <si>
    <t>Nuradeen Sabha</t>
  </si>
  <si>
    <t>(630) 272-4937</t>
  </si>
  <si>
    <t>Any revision conflicts?</t>
  </si>
  <si>
    <r>
      <t xml:space="preserve">Transition 
</t>
    </r>
    <r>
      <rPr>
        <b/>
        <sz val="11"/>
        <color rgb="FFFF0000"/>
        <rFont val="Times New Roman"/>
        <family val="1"/>
      </rPr>
      <t>(If existing config is Pulse contact Technical Lead)</t>
    </r>
  </si>
  <si>
    <t>Refer to example below (iBox has fewer ports)</t>
  </si>
  <si>
    <t>Tom's River - JC</t>
  </si>
  <si>
    <t>Ryne Swanbum</t>
  </si>
  <si>
    <t>TOMS_RVR</t>
  </si>
  <si>
    <t>Toms River SPT TRWS9 DNP Rev A</t>
  </si>
  <si>
    <t>Toms River S9000 DNP RTU Points List Rev A.xlsx</t>
  </si>
  <si>
    <t>Cellular IP</t>
  </si>
  <si>
    <t>Z:\Clients\TND\FirstEnr\82568_EtfScadaSupprt\QC\Design\Q4\Tom's River - JC\20190930 - Cellular IP - RSS\1 - Deliverables</t>
  </si>
  <si>
    <t>Infrastructure/Network Technology</t>
  </si>
  <si>
    <t>Ok</t>
  </si>
  <si>
    <t>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</si>
</sst>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7">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1" fillId="0" borderId="5" xfId="1" applyNumberFormat="1" applyFill="1" applyBorder="1" applyAlignment="1">
      <alignment horizontal="center" vertical="center" wrapTex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9" fillId="0" borderId="17" xfId="0" applyFont="1" applyFill="1" applyBorder="1" applyAlignment="1">
      <alignment horizontal="center"/>
    </xf>
    <xf numFmtId="0" fontId="19" fillId="0" borderId="16"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6"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5"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5" xfId="0" applyFont="1" applyBorder="1" applyAlignment="1">
      <alignment horizontal="center"/>
    </xf>
    <xf numFmtId="0" fontId="19" fillId="0" borderId="18" xfId="0" applyFont="1" applyBorder="1" applyAlignment="1">
      <alignment horizontal="center"/>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41" xfId="0" applyFont="1" applyBorder="1" applyAlignment="1">
      <alignment horizontal="left"/>
    </xf>
    <xf numFmtId="0" fontId="19" fillId="0" borderId="35" xfId="0" applyFont="1" applyBorder="1" applyAlignment="1">
      <alignment horizontal="left"/>
    </xf>
    <xf numFmtId="0" fontId="19" fillId="0" borderId="42" xfId="0" applyFont="1" applyBorder="1" applyAlignment="1">
      <alignment horizontal="left"/>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27" xfId="0" applyFont="1" applyBorder="1" applyAlignment="1">
      <alignment horizontal="center"/>
    </xf>
    <xf numFmtId="0" fontId="18" fillId="0" borderId="26" xfId="0" applyFont="1" applyBorder="1" applyAlignment="1">
      <alignment horizontal="center"/>
    </xf>
    <xf numFmtId="0" fontId="18" fillId="0" borderId="19" xfId="0" applyFont="1" applyBorder="1" applyAlignment="1">
      <alignment horizontal="center"/>
    </xf>
    <xf numFmtId="0" fontId="18" fillId="0" borderId="5" xfId="0"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8" fillId="0" borderId="18" xfId="0" applyFont="1" applyBorder="1" applyAlignment="1">
      <alignment horizontal="center"/>
    </xf>
    <xf numFmtId="0" fontId="18" fillId="0" borderId="16" xfId="0" applyFont="1" applyBorder="1" applyAlignment="1">
      <alignment horizontal="center"/>
    </xf>
    <xf numFmtId="0" fontId="19" fillId="0" borderId="15" xfId="0" applyFont="1" applyFill="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18" xfId="0" applyFont="1" applyFill="1" applyBorder="1" applyAlignment="1">
      <alignment horizontal="center"/>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8" fillId="0" borderId="5" xfId="0" applyFont="1" applyBorder="1" applyAlignment="1">
      <alignment horizontal="right"/>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9" fillId="0" borderId="5" xfId="0" applyFont="1" applyBorder="1" applyAlignment="1">
      <alignment horizontal="left"/>
    </xf>
    <xf numFmtId="0" fontId="18" fillId="0" borderId="35"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14" xfId="0" applyFont="1" applyBorder="1" applyAlignment="1">
      <alignment horizontal="left"/>
    </xf>
  </cellXfs>
  <cellStyles count="3">
    <cellStyle name="Hyperlink" xfId="1" builtinId="8"/>
    <cellStyle name="Normal" xfId="0" builtinId="0"/>
    <cellStyle name="Normal 2" xfId="2" xr:uid="{00000000-0005-0000-0000-000002000000}"/>
  </cellStyles>
  <dxfs count="14">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10</xdr:row>
      <xdr:rowOff>5715</xdr:rowOff>
    </xdr:from>
    <xdr:to>
      <xdr:col>7</xdr:col>
      <xdr:colOff>1524695</xdr:colOff>
      <xdr:row>20</xdr:row>
      <xdr:rowOff>21108</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62075" y="1910715"/>
          <a:ext cx="7801670" cy="19203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44</xdr:row>
      <xdr:rowOff>1</xdr:rowOff>
    </xdr:from>
    <xdr:to>
      <xdr:col>29</xdr:col>
      <xdr:colOff>6013</xdr:colOff>
      <xdr:row>57</xdr:row>
      <xdr:rowOff>91441</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https://burnsmcd-my.sharepoint.com/personal/meliska_burnsmcd_com/Documents/First%20Energy/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1%20-%20Deliverables" TargetMode="External"/><Relationship Id="rId1" Type="http://schemas.openxmlformats.org/officeDocument/2006/relationships/hyperlink" Target="../../../../Q3/Change%20Ticket%20Model%20Matrix%202019-02-27.pdf" TargetMode="External"/><Relationship Id="rId4"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858</v>
      </c>
      <c r="AI1" t="s">
        <v>859</v>
      </c>
    </row>
    <row r="2" spans="1:35" ht="14.45" x14ac:dyDescent="0.3">
      <c r="A2" s="74"/>
      <c r="B2" s="75" t="s">
        <v>0</v>
      </c>
      <c r="C2" s="75" t="s">
        <v>1</v>
      </c>
      <c r="D2" s="75" t="s">
        <v>2</v>
      </c>
      <c r="E2" s="75" t="s">
        <v>3</v>
      </c>
      <c r="F2" s="76"/>
      <c r="AH2" t="s">
        <v>860</v>
      </c>
      <c r="AI2" t="s">
        <v>878</v>
      </c>
    </row>
    <row r="3" spans="1:35" ht="14.45" x14ac:dyDescent="0.3">
      <c r="A3" s="74"/>
      <c r="B3" s="77">
        <v>43154</v>
      </c>
      <c r="C3" s="78" t="s">
        <v>4</v>
      </c>
      <c r="D3" s="79" t="s">
        <v>5</v>
      </c>
      <c r="E3" s="78" t="s">
        <v>6</v>
      </c>
      <c r="F3" s="76"/>
      <c r="AH3" t="s">
        <v>861</v>
      </c>
      <c r="AI3" t="s">
        <v>879</v>
      </c>
    </row>
    <row r="4" spans="1:35" ht="14.45" x14ac:dyDescent="0.3">
      <c r="A4" s="74"/>
      <c r="B4" s="77">
        <v>43311</v>
      </c>
      <c r="C4" s="78" t="s">
        <v>7</v>
      </c>
      <c r="D4" s="79" t="s">
        <v>8</v>
      </c>
      <c r="E4" s="78" t="s">
        <v>6</v>
      </c>
      <c r="F4" s="76"/>
      <c r="AH4" t="s">
        <v>862</v>
      </c>
      <c r="AI4" t="s">
        <v>880</v>
      </c>
    </row>
    <row r="5" spans="1:35" ht="14.45" x14ac:dyDescent="0.3">
      <c r="A5" s="74"/>
      <c r="B5" s="77">
        <v>43311</v>
      </c>
      <c r="C5" s="78" t="s">
        <v>444</v>
      </c>
      <c r="D5" s="79" t="s">
        <v>445</v>
      </c>
      <c r="E5" s="78" t="s">
        <v>6</v>
      </c>
      <c r="F5" s="76"/>
      <c r="AH5" t="s">
        <v>863</v>
      </c>
      <c r="AI5" t="s">
        <v>792</v>
      </c>
    </row>
    <row r="6" spans="1:35" ht="14.45" x14ac:dyDescent="0.3">
      <c r="A6" s="74"/>
      <c r="B6" s="77">
        <v>43313</v>
      </c>
      <c r="C6" s="78" t="s">
        <v>571</v>
      </c>
      <c r="D6" s="79" t="s">
        <v>572</v>
      </c>
      <c r="E6" s="78" t="s">
        <v>6</v>
      </c>
      <c r="F6" s="76"/>
      <c r="AH6" t="s">
        <v>864</v>
      </c>
      <c r="AI6" t="s">
        <v>881</v>
      </c>
    </row>
    <row r="7" spans="1:35" ht="14.45" x14ac:dyDescent="0.3">
      <c r="A7" s="74"/>
      <c r="B7" s="77">
        <v>43320</v>
      </c>
      <c r="C7" s="78" t="s">
        <v>578</v>
      </c>
      <c r="D7" s="79" t="s">
        <v>579</v>
      </c>
      <c r="E7" s="78" t="s">
        <v>6</v>
      </c>
      <c r="F7" s="76"/>
      <c r="AH7" t="s">
        <v>865</v>
      </c>
      <c r="AI7" t="s">
        <v>796</v>
      </c>
    </row>
    <row r="8" spans="1:35" ht="14.45" x14ac:dyDescent="0.3">
      <c r="A8" s="74"/>
      <c r="B8" s="77">
        <v>43321</v>
      </c>
      <c r="C8" s="78" t="s">
        <v>582</v>
      </c>
      <c r="D8" s="79" t="s">
        <v>583</v>
      </c>
      <c r="E8" s="78" t="s">
        <v>6</v>
      </c>
      <c r="F8" s="76"/>
      <c r="AH8" t="s">
        <v>866</v>
      </c>
      <c r="AI8" t="s">
        <v>882</v>
      </c>
    </row>
    <row r="9" spans="1:35" ht="14.45" x14ac:dyDescent="0.3">
      <c r="A9" s="74"/>
      <c r="B9" s="77">
        <v>43343</v>
      </c>
      <c r="C9" s="78" t="s">
        <v>596</v>
      </c>
      <c r="D9" s="79" t="s">
        <v>597</v>
      </c>
      <c r="E9" s="78" t="s">
        <v>6</v>
      </c>
      <c r="F9" s="76"/>
      <c r="AH9" t="s">
        <v>867</v>
      </c>
      <c r="AI9" t="s">
        <v>6</v>
      </c>
    </row>
    <row r="10" spans="1:35" ht="14.45" x14ac:dyDescent="0.3">
      <c r="A10" s="74"/>
      <c r="B10" s="77">
        <v>43347</v>
      </c>
      <c r="C10" s="78" t="s">
        <v>621</v>
      </c>
      <c r="D10" s="79" t="s">
        <v>624</v>
      </c>
      <c r="E10" s="78" t="s">
        <v>6</v>
      </c>
      <c r="F10" s="76"/>
      <c r="AH10" t="s">
        <v>868</v>
      </c>
      <c r="AI10" t="s">
        <v>804</v>
      </c>
    </row>
    <row r="11" spans="1:35" ht="14.45" x14ac:dyDescent="0.3">
      <c r="A11" s="74"/>
      <c r="B11" s="77">
        <v>43357</v>
      </c>
      <c r="C11" s="78" t="s">
        <v>627</v>
      </c>
      <c r="D11" s="79" t="s">
        <v>628</v>
      </c>
      <c r="E11" s="78" t="s">
        <v>6</v>
      </c>
      <c r="F11" s="76"/>
      <c r="AH11" t="s">
        <v>869</v>
      </c>
      <c r="AI11" t="s">
        <v>883</v>
      </c>
    </row>
    <row r="12" spans="1:35" ht="14.45" x14ac:dyDescent="0.3">
      <c r="A12" s="74"/>
      <c r="B12" s="77">
        <v>43368</v>
      </c>
      <c r="C12" s="78" t="s">
        <v>640</v>
      </c>
      <c r="D12" s="79" t="s">
        <v>641</v>
      </c>
      <c r="E12" s="78" t="s">
        <v>6</v>
      </c>
      <c r="F12" s="76"/>
      <c r="AH12" t="s">
        <v>870</v>
      </c>
      <c r="AI12" t="s">
        <v>884</v>
      </c>
    </row>
    <row r="13" spans="1:35" ht="14.45" x14ac:dyDescent="0.3">
      <c r="A13" s="74"/>
      <c r="B13" s="77">
        <v>43382</v>
      </c>
      <c r="C13" s="78" t="s">
        <v>642</v>
      </c>
      <c r="D13" s="79" t="s">
        <v>643</v>
      </c>
      <c r="E13" s="78" t="s">
        <v>6</v>
      </c>
      <c r="F13" s="76"/>
      <c r="AH13" t="s">
        <v>871</v>
      </c>
      <c r="AI13" t="s">
        <v>885</v>
      </c>
    </row>
    <row r="14" spans="1:35" ht="28.15" x14ac:dyDescent="0.3">
      <c r="A14" s="74"/>
      <c r="B14" s="77">
        <v>43411</v>
      </c>
      <c r="C14" s="78" t="s">
        <v>697</v>
      </c>
      <c r="D14" s="103" t="s">
        <v>698</v>
      </c>
      <c r="E14" s="78" t="s">
        <v>6</v>
      </c>
      <c r="F14" s="76"/>
      <c r="AH14" t="s">
        <v>872</v>
      </c>
      <c r="AI14" t="s">
        <v>886</v>
      </c>
    </row>
    <row r="15" spans="1:35" ht="14.45" x14ac:dyDescent="0.3">
      <c r="A15" s="74"/>
      <c r="B15" s="77">
        <v>43451</v>
      </c>
      <c r="C15" s="78" t="s">
        <v>701</v>
      </c>
      <c r="D15" s="79" t="s">
        <v>726</v>
      </c>
      <c r="E15" s="78" t="s">
        <v>6</v>
      </c>
      <c r="F15" s="76"/>
      <c r="AH15" t="s">
        <v>873</v>
      </c>
      <c r="AI15" t="s">
        <v>887</v>
      </c>
    </row>
    <row r="16" spans="1:35" ht="14.45" x14ac:dyDescent="0.3">
      <c r="A16" s="74"/>
      <c r="B16" s="77">
        <v>43504</v>
      </c>
      <c r="C16" s="78" t="s">
        <v>737</v>
      </c>
      <c r="D16" s="79" t="s">
        <v>738</v>
      </c>
      <c r="E16" s="78" t="s">
        <v>6</v>
      </c>
      <c r="F16" s="76"/>
      <c r="AH16" t="s">
        <v>874</v>
      </c>
      <c r="AI16" t="s">
        <v>888</v>
      </c>
    </row>
    <row r="17" spans="1:35" ht="14.45" x14ac:dyDescent="0.3">
      <c r="A17" s="74"/>
      <c r="B17" s="77">
        <v>43530</v>
      </c>
      <c r="C17" s="78" t="s">
        <v>913</v>
      </c>
      <c r="D17" s="79" t="s">
        <v>914</v>
      </c>
      <c r="E17" s="78" t="s">
        <v>6</v>
      </c>
      <c r="F17" s="76"/>
      <c r="AH17" t="s">
        <v>875</v>
      </c>
      <c r="AI17" t="s">
        <v>889</v>
      </c>
    </row>
    <row r="18" spans="1:35" ht="14.45" x14ac:dyDescent="0.3">
      <c r="A18" s="74"/>
      <c r="B18" s="77">
        <v>43532</v>
      </c>
      <c r="C18" s="78" t="s">
        <v>918</v>
      </c>
      <c r="D18" s="187" t="s">
        <v>914</v>
      </c>
      <c r="E18" s="78" t="s">
        <v>6</v>
      </c>
      <c r="F18" s="76"/>
      <c r="AH18" t="s">
        <v>876</v>
      </c>
      <c r="AI18" t="s">
        <v>890</v>
      </c>
    </row>
    <row r="19" spans="1:35" ht="14.45" x14ac:dyDescent="0.3">
      <c r="A19" s="74"/>
      <c r="B19" s="77">
        <v>43563</v>
      </c>
      <c r="C19" s="78" t="s">
        <v>954</v>
      </c>
      <c r="D19" s="79" t="s">
        <v>726</v>
      </c>
      <c r="E19" s="78" t="s">
        <v>6</v>
      </c>
      <c r="F19" s="76"/>
      <c r="AH19" t="s">
        <v>877</v>
      </c>
      <c r="AI19" t="s">
        <v>891</v>
      </c>
    </row>
    <row r="20" spans="1:35" x14ac:dyDescent="0.25">
      <c r="A20" s="74"/>
      <c r="B20" s="77">
        <v>43586</v>
      </c>
      <c r="C20" s="78" t="s">
        <v>957</v>
      </c>
      <c r="D20" s="79" t="s">
        <v>914</v>
      </c>
      <c r="E20" s="78" t="s">
        <v>6</v>
      </c>
      <c r="F20" s="76"/>
      <c r="AH20" s="73" t="s">
        <v>952</v>
      </c>
      <c r="AI20" s="73" t="s">
        <v>951</v>
      </c>
    </row>
    <row r="21" spans="1:35" x14ac:dyDescent="0.25">
      <c r="A21" s="74"/>
      <c r="B21" s="77">
        <v>43600</v>
      </c>
      <c r="C21" s="78" t="s">
        <v>958</v>
      </c>
      <c r="D21" s="79" t="s">
        <v>914</v>
      </c>
      <c r="E21" s="78" t="s">
        <v>6</v>
      </c>
      <c r="F21" s="76"/>
      <c r="AH21" s="73" t="s">
        <v>959</v>
      </c>
      <c r="AI21" s="73" t="s">
        <v>960</v>
      </c>
    </row>
    <row r="22" spans="1:35" x14ac:dyDescent="0.25">
      <c r="A22" s="74"/>
      <c r="B22" s="77">
        <v>43615</v>
      </c>
      <c r="C22" s="78" t="s">
        <v>994</v>
      </c>
      <c r="D22" s="79" t="s">
        <v>914</v>
      </c>
      <c r="E22" s="78" t="s">
        <v>6</v>
      </c>
      <c r="F22" s="76"/>
      <c r="AH22" s="73" t="s">
        <v>961</v>
      </c>
      <c r="AI22" s="73" t="s">
        <v>962</v>
      </c>
    </row>
    <row r="23" spans="1:35" x14ac:dyDescent="0.25">
      <c r="A23" s="74"/>
      <c r="B23" s="77">
        <v>43628</v>
      </c>
      <c r="C23" s="78" t="s">
        <v>997</v>
      </c>
      <c r="D23" s="79" t="s">
        <v>998</v>
      </c>
      <c r="E23" s="78" t="s">
        <v>6</v>
      </c>
      <c r="F23" s="76"/>
      <c r="AH23" s="73" t="s">
        <v>963</v>
      </c>
      <c r="AI23" s="73" t="s">
        <v>964</v>
      </c>
    </row>
    <row r="24" spans="1:35" x14ac:dyDescent="0.25">
      <c r="A24" s="74"/>
      <c r="B24" s="77">
        <v>43725</v>
      </c>
      <c r="C24" s="78" t="s">
        <v>999</v>
      </c>
      <c r="D24" s="79" t="s">
        <v>1001</v>
      </c>
      <c r="E24" s="78" t="s">
        <v>889</v>
      </c>
      <c r="F24" s="76"/>
      <c r="AH24" s="73" t="s">
        <v>966</v>
      </c>
      <c r="AI24" s="73" t="s">
        <v>965</v>
      </c>
    </row>
    <row r="25" spans="1:35" x14ac:dyDescent="0.25">
      <c r="A25" s="74"/>
      <c r="B25" s="77"/>
      <c r="C25" s="78"/>
      <c r="D25" s="79"/>
      <c r="E25" s="78"/>
      <c r="F25" s="76"/>
      <c r="AH25" s="73" t="s">
        <v>968</v>
      </c>
      <c r="AI25" s="73" t="s">
        <v>967</v>
      </c>
    </row>
    <row r="26" spans="1:35" x14ac:dyDescent="0.25">
      <c r="A26" s="74"/>
      <c r="B26" s="77"/>
      <c r="C26" s="78"/>
      <c r="D26" s="79"/>
      <c r="E26" s="78"/>
      <c r="F26" s="76"/>
      <c r="AH26" s="73" t="s">
        <v>969</v>
      </c>
      <c r="AI26" s="73" t="s">
        <v>1004</v>
      </c>
    </row>
    <row r="27" spans="1:35" x14ac:dyDescent="0.25">
      <c r="A27" s="74"/>
      <c r="B27" s="77"/>
      <c r="C27" s="78"/>
      <c r="D27" s="79"/>
      <c r="E27" s="78"/>
      <c r="F27" s="76"/>
      <c r="AH27" s="73" t="s">
        <v>981</v>
      </c>
      <c r="AI27" s="73" t="s">
        <v>977</v>
      </c>
    </row>
    <row r="28" spans="1:35" x14ac:dyDescent="0.25">
      <c r="A28" s="74"/>
      <c r="B28" s="77"/>
      <c r="C28" s="78"/>
      <c r="D28" s="79"/>
      <c r="E28" s="78"/>
      <c r="F28" s="76"/>
      <c r="AH28" s="73" t="s">
        <v>982</v>
      </c>
      <c r="AI28" s="73" t="s">
        <v>978</v>
      </c>
    </row>
    <row r="29" spans="1:35" x14ac:dyDescent="0.25">
      <c r="A29" s="74"/>
      <c r="B29" s="77"/>
      <c r="C29" s="78"/>
      <c r="D29" s="79"/>
      <c r="E29" s="78"/>
      <c r="F29" s="76"/>
      <c r="AH29" s="73" t="s">
        <v>983</v>
      </c>
      <c r="AI29" s="73" t="s">
        <v>979</v>
      </c>
    </row>
    <row r="30" spans="1:35" x14ac:dyDescent="0.25">
      <c r="A30" s="74"/>
      <c r="B30" s="77"/>
      <c r="C30" s="78"/>
      <c r="D30" s="79"/>
      <c r="E30" s="78"/>
      <c r="F30" s="76"/>
      <c r="AH30" s="73" t="s">
        <v>984</v>
      </c>
      <c r="AI30" s="73" t="s">
        <v>980</v>
      </c>
    </row>
    <row r="31" spans="1:35" x14ac:dyDescent="0.25">
      <c r="A31" s="74"/>
      <c r="B31" s="77"/>
      <c r="C31" s="78"/>
      <c r="D31" s="79"/>
      <c r="E31" s="78"/>
      <c r="F31" s="76"/>
      <c r="AH31" s="73" t="s">
        <v>985</v>
      </c>
      <c r="AI31" s="73" t="s">
        <v>986</v>
      </c>
    </row>
    <row r="32" spans="1:35" x14ac:dyDescent="0.25">
      <c r="A32" s="74"/>
      <c r="B32" s="77"/>
      <c r="C32" s="78"/>
      <c r="D32" s="79"/>
      <c r="E32" s="78"/>
      <c r="F32" s="76"/>
      <c r="AH32" s="73" t="s">
        <v>987</v>
      </c>
      <c r="AI32" s="73" t="s">
        <v>988</v>
      </c>
    </row>
    <row r="33" spans="1:6" x14ac:dyDescent="0.25">
      <c r="A33" s="74"/>
      <c r="B33" s="77"/>
      <c r="C33" s="78"/>
      <c r="D33" s="79"/>
      <c r="E33" s="78"/>
      <c r="F33" s="76"/>
    </row>
    <row r="34" spans="1:6" x14ac:dyDescent="0.25">
      <c r="A34" s="74"/>
      <c r="B34" s="77"/>
      <c r="C34" s="78"/>
      <c r="D34" s="79"/>
      <c r="E34" s="78"/>
      <c r="F34" s="76"/>
    </row>
    <row r="35" spans="1:6" x14ac:dyDescent="0.25">
      <c r="A35" s="74"/>
      <c r="B35" s="77"/>
      <c r="C35" s="78"/>
      <c r="D35" s="79"/>
      <c r="E35" s="78"/>
      <c r="F35" s="76"/>
    </row>
    <row r="36" spans="1:6" x14ac:dyDescent="0.25">
      <c r="A36" s="74"/>
      <c r="B36" s="77"/>
      <c r="C36" s="78"/>
      <c r="D36" s="79"/>
      <c r="E36" s="78"/>
      <c r="F36" s="76"/>
    </row>
    <row r="37" spans="1:6" x14ac:dyDescent="0.25">
      <c r="A37" s="74"/>
      <c r="B37" s="77"/>
      <c r="C37" s="78"/>
      <c r="D37" s="79"/>
      <c r="E37" s="78"/>
      <c r="F37" s="76"/>
    </row>
    <row r="38" spans="1:6" x14ac:dyDescent="0.25">
      <c r="A38" s="74"/>
      <c r="B38" s="77"/>
      <c r="C38" s="78"/>
      <c r="D38" s="79"/>
      <c r="E38" s="78"/>
      <c r="F38" s="76"/>
    </row>
    <row r="39" spans="1:6" x14ac:dyDescent="0.25">
      <c r="A39" s="74"/>
      <c r="B39" s="77"/>
      <c r="C39" s="78"/>
      <c r="D39" s="79"/>
      <c r="E39" s="78"/>
      <c r="F39" s="76"/>
    </row>
    <row r="40" spans="1:6" x14ac:dyDescent="0.25">
      <c r="A40" s="74"/>
      <c r="B40" s="77"/>
      <c r="C40" s="78"/>
      <c r="D40" s="79"/>
      <c r="E40" s="78"/>
      <c r="F40" s="76"/>
    </row>
    <row r="41" spans="1:6" x14ac:dyDescent="0.25">
      <c r="A41" s="74"/>
      <c r="B41" s="77"/>
      <c r="C41" s="78"/>
      <c r="D41" s="79"/>
      <c r="E41" s="78"/>
      <c r="F41" s="76"/>
    </row>
    <row r="42" spans="1:6" x14ac:dyDescent="0.25">
      <c r="A42" s="74"/>
      <c r="B42" s="77"/>
      <c r="C42" s="78"/>
      <c r="D42" s="79"/>
      <c r="E42" s="78"/>
      <c r="F42" s="76"/>
    </row>
    <row r="43" spans="1:6" x14ac:dyDescent="0.25">
      <c r="A43" s="74"/>
      <c r="B43" s="77"/>
      <c r="C43" s="78"/>
      <c r="D43" s="79"/>
      <c r="E43" s="78"/>
      <c r="F43" s="76"/>
    </row>
    <row r="44" spans="1:6" x14ac:dyDescent="0.25">
      <c r="A44" s="74"/>
      <c r="B44" s="77"/>
      <c r="C44" s="78"/>
      <c r="D44" s="79"/>
      <c r="E44" s="78"/>
      <c r="F44" s="76"/>
    </row>
    <row r="45" spans="1:6" x14ac:dyDescent="0.25">
      <c r="A45" s="74"/>
      <c r="B45" s="77"/>
      <c r="C45" s="78"/>
      <c r="D45" s="79"/>
      <c r="E45" s="78"/>
      <c r="F45" s="76"/>
    </row>
    <row r="46" spans="1:6" x14ac:dyDescent="0.25">
      <c r="A46" s="74"/>
      <c r="B46" s="77"/>
      <c r="C46" s="78"/>
      <c r="D46" s="79"/>
      <c r="E46" s="78"/>
      <c r="F46" s="76"/>
    </row>
    <row r="47" spans="1:6" x14ac:dyDescent="0.25">
      <c r="A47" s="74"/>
      <c r="B47" s="77"/>
      <c r="C47" s="78"/>
      <c r="D47" s="79"/>
      <c r="E47" s="78"/>
      <c r="F47" s="76"/>
    </row>
    <row r="48" spans="1:6"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900</v>
      </c>
      <c r="D3" s="1" t="s">
        <v>17</v>
      </c>
      <c r="E3" s="1" t="s">
        <v>703</v>
      </c>
      <c r="F3" s="1" t="s">
        <v>18</v>
      </c>
      <c r="G3" s="1" t="s">
        <v>19</v>
      </c>
      <c r="H3" s="1" t="s">
        <v>20</v>
      </c>
      <c r="J3" s="1" t="s">
        <v>21</v>
      </c>
      <c r="K3" s="1" t="s">
        <v>22</v>
      </c>
    </row>
    <row r="4" spans="1:11" x14ac:dyDescent="0.25">
      <c r="A4" s="1">
        <v>2</v>
      </c>
      <c r="B4" s="1" t="s">
        <v>23</v>
      </c>
      <c r="C4" s="1" t="s">
        <v>900</v>
      </c>
      <c r="D4" s="1" t="s">
        <v>17</v>
      </c>
      <c r="E4" s="1" t="s">
        <v>703</v>
      </c>
      <c r="F4" s="1" t="s">
        <v>18</v>
      </c>
      <c r="G4" s="1" t="s">
        <v>19</v>
      </c>
      <c r="H4" s="1" t="s">
        <v>20</v>
      </c>
      <c r="J4" s="1" t="s">
        <v>24</v>
      </c>
      <c r="K4" s="1" t="s">
        <v>25</v>
      </c>
    </row>
    <row r="5" spans="1:11" x14ac:dyDescent="0.25">
      <c r="A5" s="1">
        <v>3</v>
      </c>
      <c r="B5" s="1" t="s">
        <v>26</v>
      </c>
      <c r="C5" s="1" t="s">
        <v>900</v>
      </c>
      <c r="D5" s="1" t="s">
        <v>17</v>
      </c>
      <c r="E5" s="1" t="s">
        <v>703</v>
      </c>
      <c r="F5" s="1" t="s">
        <v>18</v>
      </c>
      <c r="G5" s="1" t="s">
        <v>19</v>
      </c>
      <c r="H5" s="1" t="s">
        <v>20</v>
      </c>
      <c r="J5" s="1" t="s">
        <v>27</v>
      </c>
      <c r="K5" s="1" t="s">
        <v>28</v>
      </c>
    </row>
    <row r="6" spans="1:11" x14ac:dyDescent="0.25">
      <c r="A6" s="1">
        <v>4</v>
      </c>
      <c r="B6" s="1" t="s">
        <v>29</v>
      </c>
      <c r="C6" s="1" t="s">
        <v>30</v>
      </c>
      <c r="D6" s="1" t="s">
        <v>746</v>
      </c>
      <c r="E6" s="1" t="s">
        <v>31</v>
      </c>
      <c r="F6" s="1" t="s">
        <v>32</v>
      </c>
      <c r="G6" s="1" t="s">
        <v>33</v>
      </c>
      <c r="H6" s="1" t="s">
        <v>20</v>
      </c>
      <c r="J6" s="1" t="s">
        <v>34</v>
      </c>
      <c r="K6" s="1" t="s">
        <v>35</v>
      </c>
    </row>
    <row r="7" spans="1:11" x14ac:dyDescent="0.25">
      <c r="A7" s="1">
        <v>5</v>
      </c>
      <c r="B7" s="1" t="s">
        <v>36</v>
      </c>
      <c r="C7" s="1" t="s">
        <v>745</v>
      </c>
      <c r="D7" s="1" t="s">
        <v>747</v>
      </c>
      <c r="E7" s="1" t="s">
        <v>31</v>
      </c>
      <c r="F7" s="1" t="s">
        <v>31</v>
      </c>
      <c r="G7" s="1" t="s">
        <v>33</v>
      </c>
      <c r="H7" s="1" t="s">
        <v>20</v>
      </c>
      <c r="J7" s="1" t="s">
        <v>37</v>
      </c>
      <c r="K7" s="1" t="s">
        <v>38</v>
      </c>
    </row>
    <row r="8" spans="1:11" x14ac:dyDescent="0.25">
      <c r="A8" s="1">
        <v>6</v>
      </c>
      <c r="B8" s="1" t="s">
        <v>39</v>
      </c>
      <c r="C8" s="1" t="s">
        <v>936</v>
      </c>
      <c r="D8" s="1" t="s">
        <v>40</v>
      </c>
      <c r="E8" s="1" t="s">
        <v>31</v>
      </c>
      <c r="F8" s="1" t="s">
        <v>41</v>
      </c>
      <c r="G8" s="1" t="s">
        <v>31</v>
      </c>
      <c r="J8" s="1" t="s">
        <v>42</v>
      </c>
      <c r="K8" s="1" t="s">
        <v>43</v>
      </c>
    </row>
    <row r="9" spans="1:11" x14ac:dyDescent="0.25">
      <c r="A9" s="1">
        <v>7</v>
      </c>
      <c r="B9" s="1" t="s">
        <v>446</v>
      </c>
      <c r="C9" s="1" t="s">
        <v>570</v>
      </c>
      <c r="D9" s="1" t="s">
        <v>529</v>
      </c>
      <c r="E9" s="1" t="s">
        <v>31</v>
      </c>
      <c r="F9" s="1" t="s">
        <v>31</v>
      </c>
      <c r="G9" s="1" t="s">
        <v>31</v>
      </c>
    </row>
    <row r="10" spans="1:11" x14ac:dyDescent="0.25">
      <c r="A10" s="1">
        <v>8</v>
      </c>
      <c r="B10" s="1" t="s">
        <v>598</v>
      </c>
      <c r="C10" s="1" t="s">
        <v>767</v>
      </c>
      <c r="D10" s="1" t="s">
        <v>17</v>
      </c>
      <c r="E10" s="1" t="s">
        <v>703</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election activeCell="F19" sqref="F19"/>
    </sheetView>
  </sheetViews>
  <sheetFormatPr defaultColWidth="2.85546875" defaultRowHeight="15" x14ac:dyDescent="0.25"/>
  <cols>
    <col min="1" max="1" width="2.7109375" style="1" customWidth="1"/>
    <col min="2" max="2" width="36.7109375" style="1" bestFit="1" customWidth="1"/>
    <col min="3" max="3" width="2.85546875" style="1"/>
    <col min="4" max="4" width="31.28515625" style="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46" t="s">
        <v>47</v>
      </c>
      <c r="C2" s="9"/>
      <c r="D2" s="10" t="str">
        <f>D5</f>
        <v>Ryne Swanbum</v>
      </c>
      <c r="E2" s="9"/>
      <c r="F2" s="10" t="str">
        <f>F6</f>
        <v>Mike Liska</v>
      </c>
      <c r="G2" s="11"/>
      <c r="H2" s="12"/>
      <c r="I2" s="13"/>
    </row>
    <row r="3" spans="1:9" ht="13.9" x14ac:dyDescent="0.25">
      <c r="A3" s="8"/>
      <c r="B3" s="151" t="s">
        <v>34</v>
      </c>
      <c r="C3" s="9"/>
      <c r="D3" s="14" t="s">
        <v>39</v>
      </c>
      <c r="E3" s="9"/>
      <c r="F3" s="10"/>
      <c r="G3" s="11"/>
      <c r="H3" s="12"/>
      <c r="I3" s="13"/>
    </row>
    <row r="4" spans="1:9" ht="13.9" x14ac:dyDescent="0.25">
      <c r="A4" s="8"/>
      <c r="B4" s="151" t="s">
        <v>765</v>
      </c>
      <c r="C4" s="11"/>
      <c r="D4" s="14" t="s">
        <v>1009</v>
      </c>
      <c r="E4" s="15"/>
      <c r="F4" s="15"/>
      <c r="G4" s="11"/>
      <c r="H4" s="153" t="s">
        <v>766</v>
      </c>
      <c r="I4" s="13"/>
    </row>
    <row r="5" spans="1:9" ht="13.9" x14ac:dyDescent="0.25">
      <c r="A5" s="8"/>
      <c r="B5" s="151" t="s">
        <v>24</v>
      </c>
      <c r="C5" s="11"/>
      <c r="D5" s="14" t="s">
        <v>1010</v>
      </c>
      <c r="E5" s="15"/>
      <c r="F5" s="15"/>
      <c r="G5" s="11"/>
      <c r="H5" s="153" t="s">
        <v>48</v>
      </c>
      <c r="I5" s="13"/>
    </row>
    <row r="6" spans="1:9" ht="13.9" x14ac:dyDescent="0.25">
      <c r="A6" s="8"/>
      <c r="B6" s="151" t="s">
        <v>27</v>
      </c>
      <c r="C6" s="11"/>
      <c r="D6" s="109"/>
      <c r="E6" s="15"/>
      <c r="F6" s="14" t="s">
        <v>889</v>
      </c>
      <c r="G6" s="11"/>
      <c r="H6" s="153" t="s">
        <v>49</v>
      </c>
      <c r="I6" s="13"/>
    </row>
    <row r="7" spans="1:9" ht="13.9" x14ac:dyDescent="0.25">
      <c r="A7" s="8"/>
      <c r="B7" s="151" t="s">
        <v>50</v>
      </c>
      <c r="C7" s="11"/>
      <c r="D7" s="16">
        <v>43738</v>
      </c>
      <c r="E7" s="15"/>
      <c r="F7" s="16">
        <v>43742</v>
      </c>
      <c r="G7" s="11"/>
      <c r="H7" s="153" t="s">
        <v>51</v>
      </c>
      <c r="I7" s="13"/>
    </row>
    <row r="8" spans="1:9" ht="13.9" x14ac:dyDescent="0.25">
      <c r="A8" s="8"/>
      <c r="B8" s="151" t="s">
        <v>850</v>
      </c>
      <c r="C8" s="11"/>
      <c r="D8" s="16" t="s">
        <v>1011</v>
      </c>
      <c r="E8" s="15"/>
      <c r="F8" s="16" t="s">
        <v>1017</v>
      </c>
      <c r="G8" s="11"/>
      <c r="H8" s="153" t="s">
        <v>911</v>
      </c>
      <c r="I8" s="13"/>
    </row>
    <row r="9" spans="1:9" ht="30" x14ac:dyDescent="0.25">
      <c r="A9" s="8"/>
      <c r="B9" s="151" t="s">
        <v>11</v>
      </c>
      <c r="C9" s="11"/>
      <c r="D9" s="17" t="s">
        <v>1012</v>
      </c>
      <c r="E9" s="15"/>
      <c r="F9" s="14" t="s">
        <v>1017</v>
      </c>
      <c r="G9" s="11"/>
      <c r="H9" s="153" t="s">
        <v>40</v>
      </c>
      <c r="I9" s="13"/>
    </row>
    <row r="10" spans="1:9" hidden="1" x14ac:dyDescent="0.25">
      <c r="A10" s="8"/>
      <c r="B10" s="151" t="s">
        <v>12</v>
      </c>
      <c r="C10" s="11"/>
      <c r="D10" s="14"/>
      <c r="E10" s="139" t="str">
        <f>IF(D10="","",LEN(D10))</f>
        <v/>
      </c>
      <c r="F10" s="14" t="s">
        <v>59</v>
      </c>
      <c r="G10" s="11"/>
      <c r="H10" s="150"/>
      <c r="I10" s="13"/>
    </row>
    <row r="11" spans="1:9" ht="30" x14ac:dyDescent="0.25">
      <c r="A11" s="8"/>
      <c r="B11" s="151" t="s">
        <v>13</v>
      </c>
      <c r="C11" s="11"/>
      <c r="D11" s="17" t="s">
        <v>1013</v>
      </c>
      <c r="E11" s="15"/>
      <c r="F11" s="14" t="s">
        <v>1017</v>
      </c>
      <c r="G11" s="11"/>
      <c r="H11" s="150" t="s">
        <v>41</v>
      </c>
      <c r="I11" s="13"/>
    </row>
    <row r="12" spans="1:9" hidden="1" x14ac:dyDescent="0.25">
      <c r="A12" s="8"/>
      <c r="B12" s="151" t="s">
        <v>14</v>
      </c>
      <c r="C12" s="11"/>
      <c r="D12" s="17"/>
      <c r="E12" s="15"/>
      <c r="F12" s="18"/>
      <c r="G12" s="11"/>
      <c r="H12" s="150"/>
      <c r="I12" s="13"/>
    </row>
    <row r="13" spans="1:9" x14ac:dyDescent="0.25">
      <c r="A13" s="8"/>
      <c r="B13" s="151" t="s">
        <v>52</v>
      </c>
      <c r="C13" s="11"/>
      <c r="D13" s="17" t="s">
        <v>84</v>
      </c>
      <c r="E13" s="15"/>
      <c r="F13" s="18" t="s">
        <v>1017</v>
      </c>
      <c r="G13" s="11"/>
      <c r="H13" s="150" t="s">
        <v>1006</v>
      </c>
      <c r="I13" s="13"/>
    </row>
    <row r="14" spans="1:9" x14ac:dyDescent="0.25">
      <c r="A14" s="8"/>
      <c r="B14" s="152" t="s">
        <v>53</v>
      </c>
      <c r="C14" s="11"/>
      <c r="D14" s="17" t="s">
        <v>83</v>
      </c>
      <c r="E14" s="15"/>
      <c r="F14" s="18" t="s">
        <v>1017</v>
      </c>
      <c r="G14" s="11"/>
      <c r="H14" s="150" t="s">
        <v>916</v>
      </c>
      <c r="I14" s="13"/>
    </row>
    <row r="15" spans="1:9" x14ac:dyDescent="0.25">
      <c r="A15" s="8"/>
      <c r="B15" s="152" t="s">
        <v>54</v>
      </c>
      <c r="C15" s="11"/>
      <c r="D15" s="17" t="s">
        <v>83</v>
      </c>
      <c r="E15" s="15"/>
      <c r="F15" s="18" t="s">
        <v>1017</v>
      </c>
      <c r="G15" s="11"/>
      <c r="H15" s="150" t="s">
        <v>55</v>
      </c>
      <c r="I15" s="13"/>
    </row>
    <row r="16" spans="1:9" ht="28.9" hidden="1" x14ac:dyDescent="0.25">
      <c r="A16" s="8"/>
      <c r="B16" s="151" t="s">
        <v>56</v>
      </c>
      <c r="C16" s="11"/>
      <c r="D16" s="17"/>
      <c r="E16" s="15"/>
      <c r="F16" s="18"/>
      <c r="G16" s="11"/>
      <c r="H16" s="154" t="s">
        <v>899</v>
      </c>
      <c r="I16" s="13"/>
    </row>
    <row r="17" spans="1:9" ht="13.9" hidden="1" x14ac:dyDescent="0.25">
      <c r="A17" s="8"/>
      <c r="B17" s="151" t="s">
        <v>57</v>
      </c>
      <c r="C17" s="11"/>
      <c r="D17" s="17"/>
      <c r="E17" s="15"/>
      <c r="F17" s="18"/>
      <c r="G17" s="11"/>
      <c r="H17" s="150"/>
      <c r="I17" s="13"/>
    </row>
    <row r="18" spans="1:9" ht="13.9" hidden="1" x14ac:dyDescent="0.25">
      <c r="A18" s="8"/>
      <c r="B18" s="152" t="s">
        <v>58</v>
      </c>
      <c r="C18" s="11"/>
      <c r="D18" s="15"/>
      <c r="E18" s="15"/>
      <c r="F18" s="18"/>
      <c r="G18" s="11"/>
      <c r="H18" s="150" t="s">
        <v>915</v>
      </c>
      <c r="I18" s="13"/>
    </row>
    <row r="19" spans="1:9" ht="13.9" x14ac:dyDescent="0.25">
      <c r="A19" s="19"/>
      <c r="B19" s="20"/>
      <c r="C19" s="20"/>
      <c r="D19" s="21"/>
      <c r="E19" s="20"/>
      <c r="F19" s="20"/>
      <c r="G19" s="20"/>
      <c r="H19" s="22"/>
      <c r="I19" s="23"/>
    </row>
  </sheetData>
  <conditionalFormatting sqref="F10 D10">
    <cfRule type="expression" dxfId="13" priority="2">
      <formula>LEN($D$10)&lt;=8</formula>
    </cfRule>
    <cfRule type="expression" dxfId="12" priority="3">
      <formula>LEN($D$10)&gt;8</formula>
    </cfRule>
  </conditionalFormatting>
  <conditionalFormatting sqref="D10 F10">
    <cfRule type="expression" dxfId="11"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45" t="s">
        <v>44</v>
      </c>
      <c r="E1" s="3"/>
      <c r="F1" s="145" t="s">
        <v>45</v>
      </c>
      <c r="G1" s="3"/>
      <c r="H1" s="6" t="s">
        <v>46</v>
      </c>
      <c r="I1" s="7"/>
    </row>
    <row r="2" spans="1:9" x14ac:dyDescent="0.25">
      <c r="A2" s="11"/>
      <c r="B2" s="146" t="s">
        <v>901</v>
      </c>
      <c r="C2" s="11"/>
      <c r="D2" s="10" t="str">
        <f>General!D5</f>
        <v>Ryne Swanbum</v>
      </c>
      <c r="E2" s="11"/>
      <c r="F2" s="10" t="str">
        <f>General!F6</f>
        <v>Mike Liska</v>
      </c>
      <c r="G2" s="11"/>
      <c r="H2" s="4"/>
      <c r="I2" s="13"/>
    </row>
    <row r="3" spans="1:9" ht="29.25" x14ac:dyDescent="0.25">
      <c r="A3" s="27"/>
      <c r="B3" s="192" t="s">
        <v>946</v>
      </c>
      <c r="C3" s="27"/>
      <c r="D3" s="37"/>
      <c r="E3" s="15"/>
      <c r="F3" s="15"/>
      <c r="G3" s="11"/>
      <c r="H3" s="4"/>
      <c r="I3" s="13"/>
    </row>
    <row r="4" spans="1:9" ht="30" x14ac:dyDescent="0.25">
      <c r="A4" s="27"/>
      <c r="B4" s="148" t="s">
        <v>904</v>
      </c>
      <c r="C4" s="27"/>
      <c r="D4" s="31"/>
      <c r="E4" s="15"/>
      <c r="F4" s="31"/>
      <c r="G4" s="11"/>
      <c r="H4" s="150" t="s">
        <v>906</v>
      </c>
      <c r="I4" s="13"/>
    </row>
    <row r="5" spans="1:9" ht="30" x14ac:dyDescent="0.25">
      <c r="A5" s="27"/>
      <c r="B5" s="148" t="s">
        <v>905</v>
      </c>
      <c r="C5" s="27"/>
      <c r="D5" s="31"/>
      <c r="E5" s="15"/>
      <c r="F5" s="31"/>
      <c r="G5" s="11"/>
      <c r="H5" s="150" t="s">
        <v>907</v>
      </c>
      <c r="I5" s="13"/>
    </row>
    <row r="6" spans="1:9" ht="30" x14ac:dyDescent="0.25">
      <c r="A6" s="27"/>
      <c r="B6" s="148" t="s">
        <v>902</v>
      </c>
      <c r="C6" s="27"/>
      <c r="D6" s="31"/>
      <c r="E6" s="15"/>
      <c r="F6" s="31"/>
      <c r="G6" s="11"/>
      <c r="H6" s="150" t="s">
        <v>908</v>
      </c>
      <c r="I6" s="13"/>
    </row>
    <row r="7" spans="1:9" ht="30" x14ac:dyDescent="0.25">
      <c r="A7" s="27"/>
      <c r="B7" s="149" t="s">
        <v>903</v>
      </c>
      <c r="C7" s="27"/>
      <c r="D7" s="31"/>
      <c r="E7" s="15"/>
      <c r="F7" s="31"/>
      <c r="G7" s="11"/>
      <c r="H7" s="150" t="s">
        <v>909</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Ryne Swanbum</v>
      </c>
      <c r="H2" s="11"/>
      <c r="I2" s="10" t="str">
        <f>General!F6</f>
        <v>Mike Liska</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10" priority="2">
      <formula>LEN($G$11)=2</formula>
    </cfRule>
  </conditionalFormatting>
  <conditionalFormatting sqref="D28:E32 I28:I32 G28:G32">
    <cfRule type="expression" dxfId="9"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election activeCell="H29" sqref="H29"/>
    </sheetView>
  </sheetViews>
  <sheetFormatPr defaultColWidth="8.85546875" defaultRowHeight="15" x14ac:dyDescent="0.25"/>
  <cols>
    <col min="1" max="1" width="2.7109375" style="1" customWidth="1"/>
    <col min="2" max="2" width="37.140625" style="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Ryne Swanbum</v>
      </c>
      <c r="E2" s="11"/>
      <c r="F2" s="10" t="str">
        <f>General!F6</f>
        <v>Mike Liska</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735</v>
      </c>
      <c r="C5" s="27"/>
      <c r="D5" s="37"/>
      <c r="E5" s="15"/>
      <c r="F5" s="37"/>
      <c r="G5" s="11"/>
      <c r="H5" s="37"/>
      <c r="I5" s="13"/>
    </row>
    <row r="6" spans="1:16" ht="30" x14ac:dyDescent="0.25">
      <c r="A6" s="8"/>
      <c r="B6" s="161" t="s">
        <v>739</v>
      </c>
      <c r="C6" s="27"/>
      <c r="D6" s="28"/>
      <c r="E6" s="15"/>
      <c r="F6" s="31"/>
      <c r="G6" s="11"/>
      <c r="H6" s="150" t="s">
        <v>917</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700</v>
      </c>
      <c r="C15" s="27"/>
      <c r="D15" s="28"/>
      <c r="E15" s="15"/>
      <c r="F15" s="31"/>
      <c r="G15" s="11"/>
      <c r="H15" s="150" t="s">
        <v>699</v>
      </c>
      <c r="I15" s="13"/>
    </row>
    <row r="16" spans="1:16" x14ac:dyDescent="0.25">
      <c r="A16" s="8"/>
      <c r="B16" s="11"/>
      <c r="C16" s="11"/>
      <c r="D16" s="42"/>
      <c r="E16" s="11"/>
      <c r="F16" s="11"/>
      <c r="G16" s="11"/>
      <c r="H16" s="4"/>
      <c r="I16" s="13"/>
    </row>
    <row r="17" spans="1:9" x14ac:dyDescent="0.25">
      <c r="A17" s="8"/>
      <c r="B17" s="146" t="s">
        <v>897</v>
      </c>
      <c r="C17" s="27"/>
      <c r="D17" s="37"/>
      <c r="E17" s="15"/>
      <c r="F17" s="37"/>
      <c r="G17" s="11"/>
      <c r="H17" s="37"/>
      <c r="I17" s="13"/>
    </row>
    <row r="18" spans="1:9" x14ac:dyDescent="0.25">
      <c r="A18" s="8"/>
      <c r="B18" s="149" t="s">
        <v>898</v>
      </c>
      <c r="C18" s="27"/>
      <c r="D18" s="28"/>
      <c r="E18" s="15"/>
      <c r="F18" s="31"/>
      <c r="G18" s="11"/>
      <c r="H18" s="150" t="s">
        <v>896</v>
      </c>
      <c r="I18" s="13"/>
    </row>
    <row r="19" spans="1:9" x14ac:dyDescent="0.25">
      <c r="A19" s="8"/>
      <c r="B19" s="11"/>
      <c r="C19" s="11"/>
      <c r="D19" s="42"/>
      <c r="E19" s="11"/>
      <c r="F19" s="11"/>
      <c r="G19" s="11"/>
      <c r="H19" s="4"/>
      <c r="I19" s="13"/>
    </row>
    <row r="20" spans="1:9" x14ac:dyDescent="0.25">
      <c r="A20" s="8"/>
      <c r="B20" s="146" t="s">
        <v>584</v>
      </c>
      <c r="C20" s="27"/>
      <c r="D20" s="28" t="s">
        <v>83</v>
      </c>
      <c r="E20" s="15"/>
      <c r="F20" s="37"/>
      <c r="G20" s="11"/>
      <c r="H20" s="37"/>
      <c r="I20" s="13"/>
    </row>
    <row r="21" spans="1:9" x14ac:dyDescent="0.25">
      <c r="A21" s="8"/>
      <c r="B21" s="151" t="s">
        <v>585</v>
      </c>
      <c r="C21" s="27"/>
      <c r="D21" s="28"/>
      <c r="E21" s="15"/>
      <c r="F21" s="31"/>
      <c r="G21" s="11"/>
      <c r="H21" s="150" t="s">
        <v>586</v>
      </c>
      <c r="I21" s="13"/>
    </row>
    <row r="22" spans="1:9" x14ac:dyDescent="0.25">
      <c r="A22" s="8"/>
      <c r="B22" s="146" t="s">
        <v>588</v>
      </c>
      <c r="C22" s="27"/>
      <c r="D22" s="37"/>
      <c r="E22" s="15"/>
      <c r="F22" s="37"/>
      <c r="G22" s="11"/>
      <c r="H22" s="37"/>
      <c r="I22" s="13"/>
    </row>
    <row r="23" spans="1:9" ht="29.25" x14ac:dyDescent="0.25">
      <c r="A23" s="8"/>
      <c r="B23" s="148" t="s">
        <v>587</v>
      </c>
      <c r="C23" s="27"/>
      <c r="D23" s="28"/>
      <c r="E23" s="15"/>
      <c r="F23" s="31"/>
      <c r="G23" s="11"/>
      <c r="H23" s="150" t="s">
        <v>1007</v>
      </c>
      <c r="I23" s="13"/>
    </row>
    <row r="24" spans="1:9" x14ac:dyDescent="0.25">
      <c r="A24" s="8"/>
      <c r="B24" s="151" t="s">
        <v>590</v>
      </c>
      <c r="C24" s="27"/>
      <c r="D24" s="28"/>
      <c r="E24" s="15"/>
      <c r="F24" s="31"/>
      <c r="G24" s="11"/>
      <c r="H24" s="150">
        <v>16</v>
      </c>
      <c r="I24" s="13"/>
    </row>
    <row r="25" spans="1:9" x14ac:dyDescent="0.25">
      <c r="A25" s="8"/>
      <c r="B25" s="151" t="s">
        <v>591</v>
      </c>
      <c r="C25" s="27"/>
      <c r="D25" s="28"/>
      <c r="E25" s="15"/>
      <c r="F25" s="31"/>
      <c r="G25" s="11"/>
      <c r="H25" s="150" t="s">
        <v>593</v>
      </c>
      <c r="I25" s="13"/>
    </row>
    <row r="26" spans="1:9" x14ac:dyDescent="0.25">
      <c r="A26" s="8"/>
      <c r="B26" s="152" t="s">
        <v>592</v>
      </c>
      <c r="C26" s="27"/>
      <c r="D26" s="28"/>
      <c r="E26" s="15"/>
      <c r="F26" s="31"/>
      <c r="G26" s="11"/>
      <c r="H26" s="150" t="s">
        <v>594</v>
      </c>
      <c r="I26" s="13"/>
    </row>
    <row r="27" spans="1:9" x14ac:dyDescent="0.25">
      <c r="A27" s="8"/>
      <c r="B27" s="146" t="s">
        <v>589</v>
      </c>
      <c r="C27" s="27"/>
      <c r="D27" s="37"/>
      <c r="E27" s="15"/>
      <c r="F27" s="37"/>
      <c r="G27" s="11"/>
      <c r="H27" s="37"/>
      <c r="I27" s="13"/>
    </row>
    <row r="28" spans="1:9" ht="29.25" x14ac:dyDescent="0.25">
      <c r="A28" s="8"/>
      <c r="B28" s="148" t="s">
        <v>587</v>
      </c>
      <c r="C28" s="27"/>
      <c r="D28" s="28"/>
      <c r="E28" s="15"/>
      <c r="F28" s="31"/>
      <c r="G28" s="11"/>
      <c r="H28" s="150" t="s">
        <v>1007</v>
      </c>
      <c r="I28" s="13"/>
    </row>
    <row r="29" spans="1:9" x14ac:dyDescent="0.25">
      <c r="A29" s="8"/>
      <c r="B29" s="151" t="s">
        <v>590</v>
      </c>
      <c r="C29" s="27"/>
      <c r="D29" s="28"/>
      <c r="E29" s="15"/>
      <c r="F29" s="31"/>
      <c r="G29" s="11"/>
      <c r="H29" s="150">
        <v>16</v>
      </c>
      <c r="I29" s="13"/>
    </row>
    <row r="30" spans="1:9" x14ac:dyDescent="0.25">
      <c r="A30" s="8"/>
      <c r="B30" s="151" t="s">
        <v>595</v>
      </c>
      <c r="C30" s="27"/>
      <c r="D30" s="28"/>
      <c r="E30" s="15"/>
      <c r="F30" s="31"/>
      <c r="G30" s="11"/>
      <c r="H30" s="150">
        <v>-1</v>
      </c>
      <c r="I30" s="13"/>
    </row>
    <row r="31" spans="1:9" x14ac:dyDescent="0.25">
      <c r="A31" s="8"/>
      <c r="B31" s="152" t="s">
        <v>591</v>
      </c>
      <c r="C31" s="27"/>
      <c r="D31" s="28"/>
      <c r="E31" s="15"/>
      <c r="F31" s="31"/>
      <c r="G31" s="11"/>
      <c r="H31" s="150" t="s">
        <v>593</v>
      </c>
      <c r="I31" s="13"/>
    </row>
    <row r="32" spans="1:9" x14ac:dyDescent="0.25">
      <c r="A32" s="19"/>
      <c r="B32" s="20"/>
      <c r="C32" s="20"/>
      <c r="D32" s="40"/>
      <c r="E32" s="20"/>
      <c r="F32" s="20"/>
      <c r="G32" s="20"/>
      <c r="H32" s="41"/>
      <c r="I32" s="23"/>
    </row>
  </sheetData>
  <conditionalFormatting sqref="D21 F21 D23:D26 F23:F26 D28:D31 F28:F31">
    <cfRule type="expression" dxfId="8"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t="str">
        <f>General!D5</f>
        <v>Ryne Swanbum</v>
      </c>
      <c r="E2" s="11"/>
      <c r="F2" s="10" t="str">
        <f>General!F6</f>
        <v>Mike Liska</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t="str">
        <f>General!D5</f>
        <v>Ryne Swanbum</v>
      </c>
      <c r="E2" s="11"/>
      <c r="F2" s="10" t="str">
        <f>General!F6</f>
        <v>Mike Liska</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t="str">
        <f>General!D5</f>
        <v>Ryne Swanbum</v>
      </c>
      <c r="E2" s="11"/>
      <c r="F2" s="10" t="str">
        <f>General!F6</f>
        <v>Mike Liska</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1008</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636</v>
      </c>
      <c r="F2" s="85"/>
      <c r="G2" s="165" t="s">
        <v>635</v>
      </c>
      <c r="H2" s="11"/>
      <c r="I2" s="10" t="str">
        <f>General!D5</f>
        <v>Ryne Swanbum</v>
      </c>
      <c r="J2" s="11"/>
      <c r="K2" s="10" t="str">
        <f>General!F6</f>
        <v>Mike Liska</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577</v>
      </c>
      <c r="N4" s="30"/>
    </row>
    <row r="5" spans="1:16" x14ac:dyDescent="0.25">
      <c r="A5" s="8"/>
      <c r="B5" s="32"/>
      <c r="C5" s="11"/>
      <c r="D5" s="11"/>
      <c r="E5" s="11"/>
      <c r="F5" s="11"/>
      <c r="G5" s="11"/>
      <c r="H5" s="11"/>
      <c r="I5" s="37"/>
      <c r="J5" s="15"/>
      <c r="K5" s="15"/>
      <c r="L5" s="11"/>
      <c r="M5" s="4"/>
      <c r="N5" s="13"/>
    </row>
    <row r="6" spans="1:16" ht="30" x14ac:dyDescent="0.25">
      <c r="A6" s="8"/>
      <c r="B6" s="167" t="s">
        <v>638</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4" t="s">
        <v>138</v>
      </c>
      <c r="N7" s="13"/>
    </row>
    <row r="8" spans="1:16" x14ac:dyDescent="0.25">
      <c r="A8" s="8"/>
      <c r="B8" s="28"/>
      <c r="C8" s="11"/>
      <c r="D8" s="28"/>
      <c r="E8" s="28"/>
      <c r="F8" s="11"/>
      <c r="G8" s="168" t="str">
        <f t="shared" ref="G8:G16" si="0">IF(D8="","",DEC2HEX(D8))</f>
        <v/>
      </c>
      <c r="H8" s="11"/>
      <c r="I8" s="28"/>
      <c r="J8" s="15"/>
      <c r="K8" s="31"/>
      <c r="L8" s="11"/>
      <c r="M8" s="195"/>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67" t="s">
        <v>637</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4" t="s">
        <v>138</v>
      </c>
      <c r="N19" s="13"/>
    </row>
    <row r="20" spans="1:14" x14ac:dyDescent="0.25">
      <c r="A20" s="8"/>
      <c r="B20" s="28"/>
      <c r="C20" s="11"/>
      <c r="D20" s="28"/>
      <c r="E20" s="28"/>
      <c r="F20" s="11"/>
      <c r="G20" s="168" t="str">
        <f t="shared" ref="G20:G34" si="2">IF(D20="","",DEC2HEX(D20))</f>
        <v/>
      </c>
      <c r="H20" s="11"/>
      <c r="I20" s="28"/>
      <c r="J20" s="15"/>
      <c r="K20" s="31"/>
      <c r="L20" s="11"/>
      <c r="M20" s="195"/>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7"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573</v>
      </c>
    </row>
    <row r="2" spans="1:14" x14ac:dyDescent="0.25">
      <c r="A2" s="8"/>
      <c r="B2" s="146" t="s">
        <v>634</v>
      </c>
      <c r="C2" s="11"/>
      <c r="D2" s="10" t="str">
        <f>General!D5</f>
        <v>Ryne Swanbum</v>
      </c>
      <c r="E2" s="11"/>
      <c r="F2" s="10" t="str">
        <f>General!F6</f>
        <v>Mike Liska</v>
      </c>
      <c r="G2" s="11"/>
      <c r="H2" s="4"/>
      <c r="I2" s="13"/>
      <c r="N2" s="36" t="s">
        <v>140</v>
      </c>
    </row>
    <row r="3" spans="1:14" x14ac:dyDescent="0.25">
      <c r="A3" s="8"/>
      <c r="B3" s="152" t="s">
        <v>702</v>
      </c>
      <c r="C3" s="11"/>
      <c r="D3" s="28"/>
      <c r="E3" s="15"/>
      <c r="F3" s="11"/>
      <c r="G3" s="11"/>
      <c r="H3" s="150" t="s">
        <v>574</v>
      </c>
      <c r="I3" s="13"/>
      <c r="N3" s="36" t="s">
        <v>714</v>
      </c>
    </row>
    <row r="4" spans="1:14" x14ac:dyDescent="0.25">
      <c r="A4" s="8"/>
      <c r="B4" s="11"/>
      <c r="C4" s="11"/>
      <c r="D4" s="42"/>
      <c r="E4" s="11"/>
      <c r="F4" s="11"/>
      <c r="G4" s="11"/>
      <c r="H4" s="4"/>
      <c r="I4" s="13"/>
    </row>
    <row r="5" spans="1:14" x14ac:dyDescent="0.25">
      <c r="A5" s="8"/>
      <c r="B5" s="146" t="s">
        <v>708</v>
      </c>
      <c r="C5" s="11"/>
      <c r="D5" s="87"/>
      <c r="E5" s="11"/>
      <c r="F5" s="87"/>
      <c r="G5" s="11"/>
      <c r="H5" s="4"/>
      <c r="I5" s="13"/>
    </row>
    <row r="6" spans="1:14" x14ac:dyDescent="0.25">
      <c r="A6" s="8"/>
      <c r="B6" s="151" t="s">
        <v>709</v>
      </c>
      <c r="C6" s="11"/>
      <c r="D6" s="28"/>
      <c r="E6" s="15"/>
      <c r="F6" s="31"/>
      <c r="G6" s="11"/>
      <c r="H6" s="150" t="str">
        <f>IF($D$3="","",IF($D$3=$N$1,"Correct Baud Rate?",IF($D$3=$N$3,"","Correct Baud Rate?")))</f>
        <v/>
      </c>
      <c r="I6" s="13"/>
    </row>
    <row r="7" spans="1:14" x14ac:dyDescent="0.25">
      <c r="A7" s="8"/>
      <c r="B7" s="162" t="s">
        <v>710</v>
      </c>
      <c r="C7" s="11"/>
      <c r="D7" s="28"/>
      <c r="E7" s="15"/>
      <c r="F7" s="31"/>
      <c r="G7" s="11"/>
      <c r="H7" s="150" t="str">
        <f>IF($D$3="","",IF($D$3=$N$1,"EMS Port Disabled",IF($D$3=$N$3,"","EMS Port Enabled")))</f>
        <v/>
      </c>
      <c r="I7" s="13"/>
    </row>
    <row r="8" spans="1:14" x14ac:dyDescent="0.25">
      <c r="A8" s="8"/>
      <c r="B8" s="162" t="s">
        <v>711</v>
      </c>
      <c r="C8" s="11"/>
      <c r="D8" s="28"/>
      <c r="E8" s="15"/>
      <c r="F8" s="31"/>
      <c r="G8" s="11"/>
      <c r="H8" s="150" t="str">
        <f>IF($D$3="","",IF($D$3=$N$1,"EMS Port Disabled",IF($D$3=$N$3,"","EMS Port Enabled")))</f>
        <v/>
      </c>
      <c r="I8" s="13"/>
    </row>
    <row r="9" spans="1:14" x14ac:dyDescent="0.25">
      <c r="A9" s="8"/>
      <c r="B9" s="162" t="s">
        <v>712</v>
      </c>
      <c r="C9" s="11"/>
      <c r="D9" s="28"/>
      <c r="E9" s="15"/>
      <c r="F9" s="31"/>
      <c r="G9" s="11"/>
      <c r="H9" s="150" t="str">
        <f>IF($D$3="","",IF($D$3=$N$1,"EMS Port Disabled",IF($D$3=$N$3,"","EMS Port Enabled")))</f>
        <v/>
      </c>
      <c r="I9" s="13"/>
    </row>
    <row r="10" spans="1:14" x14ac:dyDescent="0.25">
      <c r="A10" s="8"/>
      <c r="B10" s="152" t="s">
        <v>713</v>
      </c>
      <c r="C10" s="27"/>
      <c r="D10" s="28"/>
      <c r="E10" s="15"/>
      <c r="F10" s="31"/>
      <c r="G10" s="11"/>
      <c r="H10" s="150" t="str">
        <f>IF($D$3="","",IF($D$3=$N$1,"EMS Port Disabled",IF($D$3=$N$3,"","EMS Port Enabled")))</f>
        <v/>
      </c>
      <c r="I10" s="13"/>
    </row>
    <row r="11" spans="1:14" x14ac:dyDescent="0.25">
      <c r="A11" s="19"/>
      <c r="B11" s="20"/>
      <c r="C11" s="20"/>
      <c r="D11" s="40"/>
      <c r="E11" s="20"/>
      <c r="F11" s="20"/>
      <c r="G11" s="20"/>
      <c r="H11" s="41"/>
      <c r="I11" s="23"/>
    </row>
  </sheetData>
  <conditionalFormatting sqref="D6:D10 F6 F7 F8 F9 F10 H6 H7 H9 H8 H10">
    <cfRule type="expression" dxfId="6" priority="1">
      <formula>IF($D$3="","",IF($D$3=$N$3,TRUE,FALSE))</formula>
    </cfRule>
  </conditionalFormatting>
  <dataValidations count="1">
    <dataValidation type="list" allowBlank="1" showInputMessage="1" showErrorMessage="1" sqref="D3" xr:uid="{00000000-0002-0000-0A00-000000000000}">
      <formula1>$N$1:$N$3</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141</v>
      </c>
      <c r="C2" s="11"/>
      <c r="D2" s="10" t="str">
        <f>General!D5</f>
        <v>Ryne Swanbum</v>
      </c>
      <c r="E2" s="11"/>
      <c r="F2" s="10" t="str">
        <f>General!F6</f>
        <v>Mike Liska</v>
      </c>
      <c r="G2" s="11"/>
      <c r="H2" s="4"/>
      <c r="I2" s="13"/>
      <c r="L2" s="36" t="s">
        <v>84</v>
      </c>
    </row>
    <row r="3" spans="1:12" x14ac:dyDescent="0.25">
      <c r="A3" s="8"/>
      <c r="B3" s="169" t="s">
        <v>639</v>
      </c>
      <c r="C3" s="11"/>
      <c r="D3" s="28" t="s">
        <v>83</v>
      </c>
      <c r="E3" s="11"/>
      <c r="F3" s="10"/>
      <c r="G3" s="11"/>
      <c r="H3" s="4"/>
      <c r="I3" s="13"/>
    </row>
    <row r="4" spans="1:12" x14ac:dyDescent="0.25">
      <c r="A4" s="8"/>
      <c r="B4" s="151" t="s">
        <v>142</v>
      </c>
      <c r="C4" s="27"/>
      <c r="D4" s="28" t="str">
        <f>IF(D3="Yes","","N/A")</f>
        <v/>
      </c>
      <c r="E4" s="15"/>
      <c r="F4" s="31" t="str">
        <f>IF(D3="Yes","","N/A")</f>
        <v/>
      </c>
      <c r="G4" s="11"/>
      <c r="H4" s="150" t="s">
        <v>143</v>
      </c>
      <c r="I4" s="13"/>
    </row>
    <row r="5" spans="1:12" x14ac:dyDescent="0.25">
      <c r="A5" s="8"/>
      <c r="B5" s="151" t="s">
        <v>144</v>
      </c>
      <c r="C5" s="11"/>
      <c r="D5" s="28" t="str">
        <f>IF(D3="Yes","","N/A")</f>
        <v/>
      </c>
      <c r="E5" s="15"/>
      <c r="F5" s="45" t="str">
        <f>IF(D3="Yes","","N/A")</f>
        <v/>
      </c>
      <c r="G5" s="11"/>
      <c r="H5" s="170" t="s">
        <v>145</v>
      </c>
      <c r="I5" s="13"/>
    </row>
    <row r="6" spans="1:12" x14ac:dyDescent="0.25">
      <c r="A6" s="8"/>
      <c r="B6" s="152" t="s">
        <v>146</v>
      </c>
      <c r="C6" s="27"/>
      <c r="D6" s="28" t="str">
        <f>IF(D3="Yes","","N/A")</f>
        <v/>
      </c>
      <c r="E6" s="15"/>
      <c r="F6" s="31" t="str">
        <f>IF(D3="Yes","","N/A")</f>
        <v/>
      </c>
      <c r="G6" s="11"/>
      <c r="H6" s="150" t="s">
        <v>147</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4.42578125" style="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204" t="s">
        <v>44</v>
      </c>
      <c r="E1" s="204"/>
      <c r="F1" s="3"/>
      <c r="G1" s="204" t="s">
        <v>45</v>
      </c>
      <c r="H1" s="204"/>
      <c r="I1" s="3"/>
      <c r="J1" s="6" t="s">
        <v>46</v>
      </c>
      <c r="K1" s="6"/>
      <c r="L1" s="7"/>
      <c r="P1" s="36" t="s">
        <v>83</v>
      </c>
    </row>
    <row r="2" spans="1:17" x14ac:dyDescent="0.25">
      <c r="A2" s="8"/>
      <c r="B2" s="146" t="s">
        <v>148</v>
      </c>
      <c r="C2" s="11"/>
      <c r="D2" s="205" t="str">
        <f>General!D5</f>
        <v>Ryne Swanbum</v>
      </c>
      <c r="E2" s="205"/>
      <c r="F2" s="11"/>
      <c r="G2" s="205" t="str">
        <f>General!F6</f>
        <v>Mike Liska</v>
      </c>
      <c r="H2" s="205"/>
      <c r="I2" s="11"/>
      <c r="J2" s="4"/>
      <c r="K2" s="4"/>
      <c r="L2" s="13"/>
      <c r="P2" s="36" t="s">
        <v>84</v>
      </c>
    </row>
    <row r="3" spans="1:17" ht="14.45" customHeight="1" x14ac:dyDescent="0.25">
      <c r="A3" s="8"/>
      <c r="B3" s="151" t="s">
        <v>149</v>
      </c>
      <c r="C3" s="11"/>
      <c r="D3" s="200"/>
      <c r="E3" s="201"/>
      <c r="F3" s="15"/>
      <c r="G3" s="200"/>
      <c r="H3" s="201"/>
      <c r="I3" s="11"/>
      <c r="J3" s="202" t="s">
        <v>150</v>
      </c>
      <c r="K3" s="203"/>
      <c r="L3" s="13"/>
      <c r="O3" s="89" t="s">
        <v>688</v>
      </c>
      <c r="P3" s="90" t="s">
        <v>689</v>
      </c>
      <c r="Q3" s="90" t="s">
        <v>689</v>
      </c>
    </row>
    <row r="4" spans="1:17" ht="14.45" customHeight="1" x14ac:dyDescent="0.25">
      <c r="A4" s="8"/>
      <c r="B4" s="159" t="s">
        <v>575</v>
      </c>
      <c r="C4" s="11"/>
      <c r="D4" s="200" t="s">
        <v>83</v>
      </c>
      <c r="E4" s="201"/>
      <c r="F4" s="15"/>
      <c r="G4" s="15"/>
      <c r="H4" s="15"/>
      <c r="I4" s="11"/>
      <c r="J4" s="202" t="s">
        <v>576</v>
      </c>
      <c r="K4" s="203"/>
      <c r="L4" s="13"/>
      <c r="O4" s="89" t="s">
        <v>690</v>
      </c>
      <c r="P4" s="89" t="s">
        <v>688</v>
      </c>
      <c r="Q4" s="89" t="s">
        <v>688</v>
      </c>
    </row>
    <row r="5" spans="1:17" x14ac:dyDescent="0.25">
      <c r="A5" s="8"/>
      <c r="B5" s="147" t="s">
        <v>69</v>
      </c>
      <c r="C5" s="11"/>
      <c r="D5" s="15"/>
      <c r="E5" s="15"/>
      <c r="F5" s="15"/>
      <c r="G5" s="15"/>
      <c r="H5" s="15"/>
      <c r="I5" s="11"/>
      <c r="J5" s="46"/>
      <c r="K5" s="46"/>
      <c r="L5" s="13"/>
      <c r="O5" s="89" t="s">
        <v>691</v>
      </c>
      <c r="P5" s="89" t="s">
        <v>690</v>
      </c>
      <c r="Q5" s="89" t="s">
        <v>690</v>
      </c>
    </row>
    <row r="6" spans="1:17" ht="14.45" customHeight="1" x14ac:dyDescent="0.25">
      <c r="A6" s="8"/>
      <c r="B6" s="171" t="s">
        <v>151</v>
      </c>
      <c r="C6" s="11"/>
      <c r="D6" s="200"/>
      <c r="E6" s="201"/>
      <c r="F6" s="15"/>
      <c r="G6" s="200"/>
      <c r="H6" s="201"/>
      <c r="I6" s="11"/>
      <c r="J6" s="202" t="s">
        <v>152</v>
      </c>
      <c r="K6" s="203"/>
      <c r="L6" s="13"/>
      <c r="O6" s="89" t="s">
        <v>692</v>
      </c>
      <c r="P6" s="89" t="s">
        <v>691</v>
      </c>
      <c r="Q6" s="89" t="s">
        <v>691</v>
      </c>
    </row>
    <row r="7" spans="1:17" ht="14.45" customHeight="1" x14ac:dyDescent="0.25">
      <c r="A7" s="8"/>
      <c r="B7" s="171" t="s">
        <v>153</v>
      </c>
      <c r="C7" s="11"/>
      <c r="D7" s="200"/>
      <c r="E7" s="201"/>
      <c r="F7" s="15"/>
      <c r="G7" s="200"/>
      <c r="H7" s="201"/>
      <c r="I7" s="11"/>
      <c r="J7" s="202" t="s">
        <v>154</v>
      </c>
      <c r="K7" s="203"/>
      <c r="L7" s="13"/>
      <c r="O7" s="89"/>
      <c r="P7" s="89" t="s">
        <v>692</v>
      </c>
      <c r="Q7" s="89" t="s">
        <v>692</v>
      </c>
    </row>
    <row r="8" spans="1:17" ht="14.45" customHeight="1" thickBot="1" x14ac:dyDescent="0.3">
      <c r="A8" s="8"/>
      <c r="B8" s="171" t="s">
        <v>155</v>
      </c>
      <c r="C8" s="11"/>
      <c r="D8" s="200"/>
      <c r="E8" s="201"/>
      <c r="F8" s="15"/>
      <c r="G8" s="200"/>
      <c r="H8" s="201"/>
      <c r="I8" s="11"/>
      <c r="J8" s="202" t="s">
        <v>156</v>
      </c>
      <c r="K8" s="203"/>
      <c r="L8" s="13"/>
    </row>
    <row r="9" spans="1:17" ht="14.45" customHeight="1" x14ac:dyDescent="0.25">
      <c r="A9" s="8"/>
      <c r="B9" s="171" t="s">
        <v>157</v>
      </c>
      <c r="C9" s="11"/>
      <c r="D9" s="200"/>
      <c r="E9" s="201"/>
      <c r="F9" s="15"/>
      <c r="G9" s="200"/>
      <c r="H9" s="201"/>
      <c r="I9" s="11"/>
      <c r="J9" s="202" t="s">
        <v>158</v>
      </c>
      <c r="K9" s="203"/>
      <c r="L9" s="13"/>
      <c r="N9" s="199" t="s">
        <v>644</v>
      </c>
      <c r="O9" s="197"/>
      <c r="P9" s="197"/>
      <c r="Q9" s="198"/>
    </row>
    <row r="10" spans="1:17" ht="15.75" thickBot="1" x14ac:dyDescent="0.3">
      <c r="A10" s="8"/>
      <c r="B10" s="3"/>
      <c r="C10" s="11"/>
      <c r="D10" s="87"/>
      <c r="E10" s="87"/>
      <c r="F10" s="11"/>
      <c r="G10" s="87"/>
      <c r="H10" s="87"/>
      <c r="I10" s="11"/>
      <c r="J10" s="44"/>
      <c r="K10" s="44"/>
      <c r="L10" s="13"/>
      <c r="N10" s="102"/>
      <c r="O10" s="101" t="s">
        <v>645</v>
      </c>
      <c r="P10" s="101" t="s">
        <v>646</v>
      </c>
      <c r="Q10" s="100" t="s">
        <v>647</v>
      </c>
    </row>
    <row r="11" spans="1:17" x14ac:dyDescent="0.25">
      <c r="A11" s="8"/>
      <c r="B11" s="146" t="s">
        <v>159</v>
      </c>
      <c r="C11" s="11"/>
      <c r="D11" s="15"/>
      <c r="E11" s="15"/>
      <c r="F11" s="15"/>
      <c r="G11" s="15"/>
      <c r="H11" s="15"/>
      <c r="I11" s="11"/>
      <c r="J11" s="46"/>
      <c r="K11" s="46"/>
      <c r="L11" s="13"/>
      <c r="N11" s="99">
        <v>1</v>
      </c>
      <c r="O11" s="98" t="s">
        <v>648</v>
      </c>
      <c r="P11" s="98" t="s">
        <v>649</v>
      </c>
      <c r="Q11" s="97" t="s">
        <v>650</v>
      </c>
    </row>
    <row r="12" spans="1:17" x14ac:dyDescent="0.25">
      <c r="A12" s="8"/>
      <c r="B12" s="152" t="s">
        <v>160</v>
      </c>
      <c r="C12" s="11"/>
      <c r="D12" s="200"/>
      <c r="E12" s="201"/>
      <c r="F12" s="15"/>
      <c r="G12" s="200"/>
      <c r="H12" s="201"/>
      <c r="I12" s="11"/>
      <c r="J12" s="202" t="s">
        <v>161</v>
      </c>
      <c r="K12" s="203"/>
      <c r="L12" s="13"/>
      <c r="N12" s="96">
        <v>2</v>
      </c>
      <c r="O12" s="95" t="s">
        <v>651</v>
      </c>
      <c r="P12" s="95" t="s">
        <v>652</v>
      </c>
      <c r="Q12" s="94" t="s">
        <v>653</v>
      </c>
    </row>
    <row r="13" spans="1:17" x14ac:dyDescent="0.25">
      <c r="A13" s="19"/>
      <c r="B13" s="20"/>
      <c r="C13" s="20"/>
      <c r="D13" s="40"/>
      <c r="E13" s="40"/>
      <c r="F13" s="20"/>
      <c r="G13" s="20"/>
      <c r="H13" s="20"/>
      <c r="I13" s="20"/>
      <c r="J13" s="20"/>
      <c r="K13" s="20"/>
      <c r="L13" s="23"/>
      <c r="N13" s="96">
        <v>3</v>
      </c>
      <c r="O13" s="95" t="s">
        <v>654</v>
      </c>
      <c r="P13" s="95" t="s">
        <v>655</v>
      </c>
      <c r="Q13" s="94" t="s">
        <v>656</v>
      </c>
    </row>
    <row r="14" spans="1:17" x14ac:dyDescent="0.25">
      <c r="N14" s="96">
        <v>4</v>
      </c>
      <c r="O14" s="95" t="s">
        <v>657</v>
      </c>
      <c r="P14" s="95" t="s">
        <v>658</v>
      </c>
      <c r="Q14" s="94" t="s">
        <v>659</v>
      </c>
    </row>
    <row r="15" spans="1:17" x14ac:dyDescent="0.25">
      <c r="A15" s="2"/>
      <c r="B15" s="3"/>
      <c r="C15" s="3"/>
      <c r="D15" s="25"/>
      <c r="E15" s="25"/>
      <c r="F15" s="3"/>
      <c r="G15" s="25"/>
      <c r="H15" s="25"/>
      <c r="I15" s="3"/>
      <c r="J15" s="7"/>
      <c r="N15" s="96">
        <v>5</v>
      </c>
      <c r="O15" s="95" t="s">
        <v>660</v>
      </c>
      <c r="P15" s="95" t="s">
        <v>661</v>
      </c>
      <c r="Q15" s="94" t="s">
        <v>662</v>
      </c>
    </row>
    <row r="16" spans="1:17" x14ac:dyDescent="0.25">
      <c r="A16" s="8"/>
      <c r="B16" s="146" t="s">
        <v>162</v>
      </c>
      <c r="C16" s="11"/>
      <c r="D16" s="15"/>
      <c r="E16" s="15"/>
      <c r="F16" s="175" t="s">
        <v>163</v>
      </c>
      <c r="G16" s="175" t="s">
        <v>164</v>
      </c>
      <c r="H16" s="175" t="s">
        <v>165</v>
      </c>
      <c r="I16" s="175" t="s">
        <v>166</v>
      </c>
      <c r="J16" s="13"/>
      <c r="N16" s="96">
        <v>6</v>
      </c>
      <c r="O16" s="95"/>
      <c r="P16" s="95" t="s">
        <v>663</v>
      </c>
      <c r="Q16" s="94" t="s">
        <v>664</v>
      </c>
    </row>
    <row r="17" spans="1:17" x14ac:dyDescent="0.25">
      <c r="A17" s="8"/>
      <c r="B17" s="151" t="s">
        <v>167</v>
      </c>
      <c r="C17" s="11"/>
      <c r="D17" s="47"/>
      <c r="E17" s="10"/>
      <c r="F17" s="176" t="str">
        <f>IF(General!$D$3 = "D20M++", IF(D17="","",(13*D17)+3), IF(D17="","",(16*D17)+3))</f>
        <v/>
      </c>
      <c r="G17" s="176" t="str">
        <f>IF(D17="","",(10*D17)+9)</f>
        <v/>
      </c>
      <c r="H17" s="176" t="str">
        <f>IF(D17="","",(5*D17)+(24*D17))</f>
        <v/>
      </c>
      <c r="I17" s="176" t="str">
        <f>IF(D17="","",D17)</f>
        <v/>
      </c>
      <c r="J17" s="13"/>
      <c r="N17" s="96">
        <v>7</v>
      </c>
      <c r="O17" s="95"/>
      <c r="P17" s="95" t="s">
        <v>665</v>
      </c>
      <c r="Q17" s="94" t="s">
        <v>666</v>
      </c>
    </row>
    <row r="18" spans="1:17" x14ac:dyDescent="0.25">
      <c r="A18" s="8"/>
      <c r="B18" s="151" t="s">
        <v>168</v>
      </c>
      <c r="C18" s="11"/>
      <c r="D18" s="47"/>
      <c r="E18" s="10"/>
      <c r="F18" s="176" t="str">
        <f>IF(General!$D$3 = "D20M++", IF(D18="","",(13*D18)+3), IF(D18="","",(16*D18)+3))</f>
        <v/>
      </c>
      <c r="G18" s="176" t="str">
        <f>IF(D18="","",(10*D18)+9)</f>
        <v/>
      </c>
      <c r="H18" s="176" t="str">
        <f>IF(D18="","",(5*D18)+(21*D18))</f>
        <v/>
      </c>
      <c r="I18" s="176" t="str">
        <f>IF(D18="","",D18)</f>
        <v/>
      </c>
      <c r="J18" s="13"/>
      <c r="N18" s="96">
        <v>8</v>
      </c>
      <c r="O18" s="95"/>
      <c r="P18" s="95" t="s">
        <v>667</v>
      </c>
      <c r="Q18" s="94" t="s">
        <v>668</v>
      </c>
    </row>
    <row r="19" spans="1:17" x14ac:dyDescent="0.25">
      <c r="A19" s="8"/>
      <c r="B19" s="151" t="s">
        <v>169</v>
      </c>
      <c r="C19" s="11"/>
      <c r="D19" s="47"/>
      <c r="E19" s="105"/>
      <c r="F19" s="176" t="str">
        <f>IF(General!$D$3 = "D20M++", IF(D19="","",(13*D19)+3+D20), IF(D19="","",(16*D19)+3+D20))</f>
        <v/>
      </c>
      <c r="G19" s="176" t="str">
        <f>IF(D19="","",(10*D19)+9)</f>
        <v/>
      </c>
      <c r="H19" s="176" t="str">
        <f>IF(D19="","",(5*D19)+(D21*D19))</f>
        <v/>
      </c>
      <c r="I19" s="176" t="str">
        <f>IF(D19="","",D19)</f>
        <v/>
      </c>
      <c r="J19" s="13"/>
      <c r="N19" s="96">
        <v>9</v>
      </c>
      <c r="O19" s="95"/>
      <c r="P19" s="95" t="s">
        <v>669</v>
      </c>
      <c r="Q19" s="94" t="s">
        <v>670</v>
      </c>
    </row>
    <row r="20" spans="1:17" x14ac:dyDescent="0.25">
      <c r="A20" s="8"/>
      <c r="B20" s="171" t="s">
        <v>704</v>
      </c>
      <c r="C20" s="11"/>
      <c r="D20" s="47"/>
      <c r="E20" s="10"/>
      <c r="F20" s="104"/>
      <c r="G20" s="104"/>
      <c r="H20" s="104"/>
      <c r="I20" s="104"/>
      <c r="J20" s="13"/>
      <c r="N20" s="96">
        <v>10</v>
      </c>
      <c r="O20" s="95"/>
      <c r="P20" s="95" t="s">
        <v>671</v>
      </c>
      <c r="Q20" s="94" t="s">
        <v>672</v>
      </c>
    </row>
    <row r="21" spans="1:17" ht="15.75" thickBot="1" x14ac:dyDescent="0.3">
      <c r="A21" s="8"/>
      <c r="B21" s="172" t="s">
        <v>170</v>
      </c>
      <c r="C21" s="11"/>
      <c r="D21" s="47"/>
      <c r="E21" s="173" t="s">
        <v>171</v>
      </c>
      <c r="F21" s="174">
        <f>SUM(F17:F19)</f>
        <v>0</v>
      </c>
      <c r="G21" s="174">
        <f>SUM(G17:G19)</f>
        <v>0</v>
      </c>
      <c r="H21" s="174">
        <f>SUM(H17:H19)</f>
        <v>0</v>
      </c>
      <c r="I21" s="174">
        <f>SUM(I17:I19)</f>
        <v>0</v>
      </c>
      <c r="J21" s="13"/>
      <c r="N21" s="96">
        <v>11</v>
      </c>
      <c r="O21" s="95"/>
      <c r="P21" s="95" t="s">
        <v>673</v>
      </c>
      <c r="Q21" s="94" t="s">
        <v>674</v>
      </c>
    </row>
    <row r="22" spans="1:17" ht="15.75" thickTop="1" x14ac:dyDescent="0.25">
      <c r="A22" s="8"/>
      <c r="B22" s="3"/>
      <c r="C22" s="11"/>
      <c r="D22" s="10"/>
      <c r="E22" s="10"/>
      <c r="F22" s="11"/>
      <c r="G22" s="10"/>
      <c r="H22" s="10"/>
      <c r="I22" s="11"/>
      <c r="J22" s="13"/>
      <c r="N22" s="96">
        <v>12</v>
      </c>
      <c r="O22" s="95"/>
      <c r="P22" s="95" t="s">
        <v>675</v>
      </c>
      <c r="Q22" s="94" t="s">
        <v>676</v>
      </c>
    </row>
    <row r="23" spans="1:17" x14ac:dyDescent="0.25">
      <c r="A23" s="8"/>
      <c r="B23" s="146" t="s">
        <v>172</v>
      </c>
      <c r="C23" s="11"/>
      <c r="D23" s="15"/>
      <c r="E23" s="15"/>
      <c r="F23" s="175" t="s">
        <v>163</v>
      </c>
      <c r="G23" s="175" t="s">
        <v>164</v>
      </c>
      <c r="H23" s="175" t="s">
        <v>165</v>
      </c>
      <c r="I23" s="175" t="s">
        <v>166</v>
      </c>
      <c r="J23" s="13"/>
      <c r="N23" s="96">
        <v>13</v>
      </c>
      <c r="O23" s="95"/>
      <c r="P23" s="95" t="s">
        <v>677</v>
      </c>
      <c r="Q23" s="94" t="s">
        <v>678</v>
      </c>
    </row>
    <row r="24" spans="1:17" x14ac:dyDescent="0.25">
      <c r="A24" s="8"/>
      <c r="B24" s="151" t="s">
        <v>167</v>
      </c>
      <c r="C24" s="11"/>
      <c r="D24" s="47"/>
      <c r="E24" s="10"/>
      <c r="F24" s="176" t="str">
        <f>IF(General!$D$3 = "D20M++", IF(D24="","",(13*D24)+3), IF(D24="","",(16*D24)+3))</f>
        <v/>
      </c>
      <c r="G24" s="176" t="str">
        <f>IF(D24="","",(10*D24)+9)</f>
        <v/>
      </c>
      <c r="H24" s="176" t="str">
        <f>IF(D24="","",(5*D24)+(24*D24))</f>
        <v/>
      </c>
      <c r="I24" s="176" t="str">
        <f>IF(D24="","",D24)</f>
        <v/>
      </c>
      <c r="J24" s="13"/>
      <c r="N24" s="96">
        <v>14</v>
      </c>
      <c r="O24" s="95"/>
      <c r="P24" s="95" t="s">
        <v>679</v>
      </c>
      <c r="Q24" s="94" t="s">
        <v>680</v>
      </c>
    </row>
    <row r="25" spans="1:17" x14ac:dyDescent="0.25">
      <c r="A25" s="8"/>
      <c r="B25" s="151" t="s">
        <v>168</v>
      </c>
      <c r="C25" s="11"/>
      <c r="D25" s="47"/>
      <c r="E25" s="10"/>
      <c r="F25" s="176" t="str">
        <f>IF(General!$D$3 = "D20M++", IF(D25="","",(13*D25)+3), IF(D25="","",(16*D25)+3))</f>
        <v/>
      </c>
      <c r="G25" s="176" t="str">
        <f>IF(D25="","",(10*D25)+9)</f>
        <v/>
      </c>
      <c r="H25" s="176" t="str">
        <f>IF(D25="","",(5*D25)+(21*D25))</f>
        <v/>
      </c>
      <c r="I25" s="176" t="str">
        <f>IF(D25="","",D25)</f>
        <v/>
      </c>
      <c r="J25" s="13"/>
      <c r="N25" s="96">
        <v>15</v>
      </c>
      <c r="O25" s="95"/>
      <c r="P25" s="95" t="s">
        <v>681</v>
      </c>
      <c r="Q25" s="94" t="s">
        <v>682</v>
      </c>
    </row>
    <row r="26" spans="1:17" x14ac:dyDescent="0.25">
      <c r="A26" s="8"/>
      <c r="B26" s="151" t="s">
        <v>169</v>
      </c>
      <c r="C26" s="11"/>
      <c r="D26" s="47"/>
      <c r="E26" s="105"/>
      <c r="F26" s="176" t="str">
        <f>IF(General!$D$3 = "D20M++", IF(D26="","",(13*D26)+3+D27), IF(D26="","",(16*D26)+3+D27))</f>
        <v/>
      </c>
      <c r="G26" s="176" t="str">
        <f>IF(D26="","",(10*D26)+9)</f>
        <v/>
      </c>
      <c r="H26" s="176" t="str">
        <f>IF(D26="","",(5*D26)+(D28*D26))</f>
        <v/>
      </c>
      <c r="I26" s="176" t="str">
        <f>IF(D26="","",D26)</f>
        <v/>
      </c>
      <c r="J26" s="13"/>
      <c r="N26" s="96">
        <v>16</v>
      </c>
      <c r="O26" s="95"/>
      <c r="P26" s="95" t="s">
        <v>683</v>
      </c>
      <c r="Q26" s="94" t="s">
        <v>684</v>
      </c>
    </row>
    <row r="27" spans="1:17" x14ac:dyDescent="0.25">
      <c r="A27" s="8"/>
      <c r="B27" s="171" t="s">
        <v>704</v>
      </c>
      <c r="C27" s="11"/>
      <c r="D27" s="47"/>
      <c r="E27" s="10"/>
      <c r="F27" s="104"/>
      <c r="G27" s="104"/>
      <c r="H27" s="104"/>
      <c r="I27" s="104"/>
      <c r="J27" s="13"/>
      <c r="N27" s="96">
        <v>17</v>
      </c>
      <c r="O27" s="95"/>
      <c r="P27" s="95"/>
      <c r="Q27" s="94" t="s">
        <v>685</v>
      </c>
    </row>
    <row r="28" spans="1:17" ht="15.75" thickBot="1" x14ac:dyDescent="0.3">
      <c r="A28" s="8"/>
      <c r="B28" s="172" t="s">
        <v>170</v>
      </c>
      <c r="C28" s="11"/>
      <c r="D28" s="47"/>
      <c r="E28" s="173" t="s">
        <v>171</v>
      </c>
      <c r="F28" s="174">
        <f>SUM(F24:F26)</f>
        <v>0</v>
      </c>
      <c r="G28" s="174">
        <f>SUM(G24:G26)</f>
        <v>0</v>
      </c>
      <c r="H28" s="174">
        <f>SUM(H24:H26)</f>
        <v>0</v>
      </c>
      <c r="I28" s="174">
        <f>SUM(I24:I26)</f>
        <v>0</v>
      </c>
      <c r="J28" s="13"/>
      <c r="N28" s="96">
        <v>18</v>
      </c>
      <c r="O28" s="95"/>
      <c r="P28" s="95"/>
      <c r="Q28" s="94" t="s">
        <v>686</v>
      </c>
    </row>
    <row r="29" spans="1:17" ht="16.5" thickTop="1" thickBot="1" x14ac:dyDescent="0.3">
      <c r="A29" s="8"/>
      <c r="B29" s="3"/>
      <c r="C29" s="11"/>
      <c r="D29" s="10"/>
      <c r="E29" s="10"/>
      <c r="F29" s="11"/>
      <c r="G29" s="10"/>
      <c r="H29" s="10"/>
      <c r="I29" s="11"/>
      <c r="J29" s="13"/>
      <c r="N29" s="93">
        <v>19</v>
      </c>
      <c r="O29" s="92"/>
      <c r="P29" s="92"/>
      <c r="Q29" s="91" t="s">
        <v>687</v>
      </c>
    </row>
    <row r="30" spans="1:17" ht="15.75" thickBot="1" x14ac:dyDescent="0.3">
      <c r="A30" s="8"/>
      <c r="B30" s="146" t="s">
        <v>173</v>
      </c>
      <c r="C30" s="11"/>
      <c r="D30" s="15"/>
      <c r="E30" s="15"/>
      <c r="F30" s="175" t="s">
        <v>163</v>
      </c>
      <c r="G30" s="175" t="s">
        <v>164</v>
      </c>
      <c r="H30" s="175" t="s">
        <v>165</v>
      </c>
      <c r="I30" s="175" t="s">
        <v>166</v>
      </c>
      <c r="J30" s="13"/>
    </row>
    <row r="31" spans="1:17" x14ac:dyDescent="0.25">
      <c r="A31" s="8"/>
      <c r="B31" s="151" t="s">
        <v>167</v>
      </c>
      <c r="C31" s="11"/>
      <c r="D31" s="47"/>
      <c r="E31" s="10"/>
      <c r="F31" s="176" t="str">
        <f>IF(General!$D$3 = "D20M++", IF(D31="","",(13*D31)+3), IF(D31="","",(16*D31)+3))</f>
        <v/>
      </c>
      <c r="G31" s="176" t="str">
        <f>IF(D31="","",(10*D31)+9)</f>
        <v/>
      </c>
      <c r="H31" s="176" t="str">
        <f>IF(D31="","",(5*D31)+(24*D31))</f>
        <v/>
      </c>
      <c r="I31" s="176" t="str">
        <f>IF(D31="","",D31)</f>
        <v/>
      </c>
      <c r="J31" s="13"/>
      <c r="N31" s="196" t="s">
        <v>696</v>
      </c>
      <c r="O31" s="197"/>
      <c r="P31" s="197"/>
      <c r="Q31" s="198"/>
    </row>
    <row r="32" spans="1:17" ht="15.75" thickBot="1" x14ac:dyDescent="0.3">
      <c r="A32" s="8"/>
      <c r="B32" s="151" t="s">
        <v>168</v>
      </c>
      <c r="C32" s="11"/>
      <c r="D32" s="47"/>
      <c r="E32" s="10"/>
      <c r="F32" s="176" t="str">
        <f>IF(General!$D$3 = "D20M++", IF(D32="","",(13*D32)+3), IF(D32="","",(16*D32)+3))</f>
        <v/>
      </c>
      <c r="G32" s="176" t="str">
        <f>IF(D32="","",(10*D32)+9)</f>
        <v/>
      </c>
      <c r="H32" s="176" t="str">
        <f>IF(D32="","",(5*D32)+(21*D32))</f>
        <v/>
      </c>
      <c r="I32" s="176" t="str">
        <f>IF(D32="","",D32)</f>
        <v/>
      </c>
      <c r="J32" s="13"/>
      <c r="N32" s="102"/>
      <c r="O32" s="101" t="s">
        <v>645</v>
      </c>
      <c r="P32" s="101" t="s">
        <v>646</v>
      </c>
      <c r="Q32" s="100" t="s">
        <v>647</v>
      </c>
    </row>
    <row r="33" spans="1:17" x14ac:dyDescent="0.25">
      <c r="A33" s="8"/>
      <c r="B33" s="151" t="s">
        <v>169</v>
      </c>
      <c r="C33" s="11"/>
      <c r="D33" s="47"/>
      <c r="E33" s="105"/>
      <c r="F33" s="176" t="str">
        <f>IF(General!$D$3 = "D20M++", IF(D33="","",(13*D33)+3+D34), IF(D33="","",(16*D33)+3+D34))</f>
        <v/>
      </c>
      <c r="G33" s="176" t="str">
        <f>IF(D33="","",(10*D33)+9)</f>
        <v/>
      </c>
      <c r="H33" s="176" t="str">
        <f>IF(D33="","",(5*D33)+(D35*D33))</f>
        <v/>
      </c>
      <c r="I33" s="176" t="str">
        <f>IF(D33="","",D33)</f>
        <v/>
      </c>
      <c r="J33" s="13"/>
      <c r="N33" s="99">
        <v>1</v>
      </c>
      <c r="O33" s="98" t="s">
        <v>648</v>
      </c>
      <c r="P33" s="98" t="s">
        <v>649</v>
      </c>
      <c r="Q33" s="97" t="s">
        <v>650</v>
      </c>
    </row>
    <row r="34" spans="1:17" x14ac:dyDescent="0.25">
      <c r="A34" s="8"/>
      <c r="B34" s="171" t="s">
        <v>704</v>
      </c>
      <c r="C34" s="11"/>
      <c r="D34" s="47"/>
      <c r="E34" s="10"/>
      <c r="F34" s="104"/>
      <c r="G34" s="104"/>
      <c r="H34" s="104"/>
      <c r="I34" s="104"/>
      <c r="J34" s="13"/>
      <c r="N34" s="96">
        <v>2</v>
      </c>
      <c r="O34" s="95" t="s">
        <v>651</v>
      </c>
      <c r="P34" s="95" t="s">
        <v>652</v>
      </c>
      <c r="Q34" s="94" t="s">
        <v>653</v>
      </c>
    </row>
    <row r="35" spans="1:17" ht="15.75" thickBot="1" x14ac:dyDescent="0.3">
      <c r="A35" s="8"/>
      <c r="B35" s="172" t="s">
        <v>170</v>
      </c>
      <c r="C35" s="11"/>
      <c r="D35" s="47"/>
      <c r="E35" s="173" t="s">
        <v>171</v>
      </c>
      <c r="F35" s="174">
        <f>SUM(F31:F33)</f>
        <v>0</v>
      </c>
      <c r="G35" s="174">
        <f>SUM(G31:G33)</f>
        <v>0</v>
      </c>
      <c r="H35" s="174">
        <f>SUM(H31:H33)</f>
        <v>0</v>
      </c>
      <c r="I35" s="174">
        <f>SUM(I31:I33)</f>
        <v>0</v>
      </c>
      <c r="J35" s="13"/>
      <c r="N35" s="96">
        <v>3</v>
      </c>
      <c r="O35" s="95" t="s">
        <v>654</v>
      </c>
      <c r="P35" s="95" t="s">
        <v>655</v>
      </c>
      <c r="Q35" s="94" t="s">
        <v>656</v>
      </c>
    </row>
    <row r="36" spans="1:17" ht="15.75" thickTop="1" x14ac:dyDescent="0.25">
      <c r="A36" s="8"/>
      <c r="B36" s="3"/>
      <c r="C36" s="11"/>
      <c r="D36" s="10"/>
      <c r="E36" s="10"/>
      <c r="F36" s="11"/>
      <c r="G36" s="10"/>
      <c r="H36" s="10"/>
      <c r="I36" s="11"/>
      <c r="J36" s="13"/>
      <c r="N36" s="96">
        <v>4</v>
      </c>
      <c r="O36" s="95" t="s">
        <v>657</v>
      </c>
      <c r="P36" s="95" t="s">
        <v>658</v>
      </c>
      <c r="Q36" s="94" t="s">
        <v>659</v>
      </c>
    </row>
    <row r="37" spans="1:17" x14ac:dyDescent="0.25">
      <c r="A37" s="8"/>
      <c r="B37" s="146" t="s">
        <v>174</v>
      </c>
      <c r="C37" s="11"/>
      <c r="D37" s="15"/>
      <c r="E37" s="15"/>
      <c r="F37" s="175" t="s">
        <v>163</v>
      </c>
      <c r="G37" s="175" t="s">
        <v>164</v>
      </c>
      <c r="H37" s="175" t="s">
        <v>165</v>
      </c>
      <c r="I37" s="175" t="s">
        <v>166</v>
      </c>
      <c r="J37" s="13"/>
      <c r="N37" s="96">
        <v>5</v>
      </c>
      <c r="O37" s="95" t="s">
        <v>660</v>
      </c>
      <c r="P37" s="95" t="s">
        <v>661</v>
      </c>
      <c r="Q37" s="94" t="s">
        <v>662</v>
      </c>
    </row>
    <row r="38" spans="1:17" x14ac:dyDescent="0.25">
      <c r="A38" s="8"/>
      <c r="B38" s="151" t="s">
        <v>167</v>
      </c>
      <c r="C38" s="11"/>
      <c r="D38" s="47"/>
      <c r="E38" s="10"/>
      <c r="F38" s="176" t="str">
        <f>IF(General!$D$3 = "D20M++", IF(D38="","",(13*D38)+3), IF(D38="","",(16*D38)+3))</f>
        <v/>
      </c>
      <c r="G38" s="176" t="str">
        <f>IF(D38="","",(10*D38)+9)</f>
        <v/>
      </c>
      <c r="H38" s="176" t="str">
        <f>IF(D38="","",(5*D38)+(24*D38))</f>
        <v/>
      </c>
      <c r="I38" s="176" t="str">
        <f>IF(D38="","",D38)</f>
        <v/>
      </c>
      <c r="J38" s="13"/>
      <c r="N38" s="96">
        <v>6</v>
      </c>
      <c r="O38" s="95"/>
      <c r="P38" s="95" t="s">
        <v>663</v>
      </c>
      <c r="Q38" s="94" t="s">
        <v>664</v>
      </c>
    </row>
    <row r="39" spans="1:17" x14ac:dyDescent="0.25">
      <c r="A39" s="8"/>
      <c r="B39" s="151" t="s">
        <v>168</v>
      </c>
      <c r="C39" s="11"/>
      <c r="D39" s="47"/>
      <c r="E39" s="10"/>
      <c r="F39" s="176" t="str">
        <f>IF(General!$D$3 = "D20M++", IF(D39="","",(13*D39)+3), IF(D39="","",(16*D39)+3))</f>
        <v/>
      </c>
      <c r="G39" s="176" t="str">
        <f>IF(D39="","",(10*D39)+9)</f>
        <v/>
      </c>
      <c r="H39" s="176" t="str">
        <f>IF(D39="","",(5*D39)+(21*D39))</f>
        <v/>
      </c>
      <c r="I39" s="176" t="str">
        <f>IF(D39="","",D39)</f>
        <v/>
      </c>
      <c r="J39" s="13"/>
      <c r="N39" s="96">
        <v>7</v>
      </c>
      <c r="O39" s="95"/>
      <c r="P39" s="95" t="s">
        <v>665</v>
      </c>
      <c r="Q39" s="94" t="s">
        <v>666</v>
      </c>
    </row>
    <row r="40" spans="1:17" x14ac:dyDescent="0.25">
      <c r="A40" s="8"/>
      <c r="B40" s="151" t="s">
        <v>169</v>
      </c>
      <c r="C40" s="11"/>
      <c r="D40" s="47"/>
      <c r="E40" s="105"/>
      <c r="F40" s="176" t="str">
        <f>IF(General!$D$3 = "D20M++", IF(D40="","",(13*D40)+3+D41), IF(D40="","",(16*D40)+3+D41))</f>
        <v/>
      </c>
      <c r="G40" s="176" t="str">
        <f>IF(D40="","",(10*D40)+9)</f>
        <v/>
      </c>
      <c r="H40" s="176" t="str">
        <f>IF(D40="","",(5*D40)+(D42*D40))</f>
        <v/>
      </c>
      <c r="I40" s="176" t="str">
        <f>IF(D40="","",D40)</f>
        <v/>
      </c>
      <c r="J40" s="13"/>
      <c r="N40" s="96">
        <v>8</v>
      </c>
      <c r="O40" s="95"/>
      <c r="P40" s="95" t="s">
        <v>667</v>
      </c>
      <c r="Q40" s="94" t="s">
        <v>668</v>
      </c>
    </row>
    <row r="41" spans="1:17" x14ac:dyDescent="0.25">
      <c r="A41" s="8"/>
      <c r="B41" s="171" t="s">
        <v>704</v>
      </c>
      <c r="C41" s="11"/>
      <c r="D41" s="47"/>
      <c r="E41" s="10"/>
      <c r="F41" s="104"/>
      <c r="G41" s="104"/>
      <c r="H41" s="104"/>
      <c r="I41" s="104"/>
      <c r="J41" s="13"/>
      <c r="N41" s="96">
        <v>8</v>
      </c>
      <c r="O41" s="95"/>
      <c r="P41" s="95" t="s">
        <v>669</v>
      </c>
      <c r="Q41" s="94" t="s">
        <v>670</v>
      </c>
    </row>
    <row r="42" spans="1:17" ht="15.75" thickBot="1" x14ac:dyDescent="0.3">
      <c r="A42" s="8"/>
      <c r="B42" s="172" t="s">
        <v>170</v>
      </c>
      <c r="C42" s="11"/>
      <c r="D42" s="47"/>
      <c r="E42" s="173" t="s">
        <v>171</v>
      </c>
      <c r="F42" s="174">
        <f>SUM(F38:F40)</f>
        <v>0</v>
      </c>
      <c r="G42" s="174">
        <f>SUM(G38:G40)</f>
        <v>0</v>
      </c>
      <c r="H42" s="174">
        <f>SUM(H38:H40)</f>
        <v>0</v>
      </c>
      <c r="I42" s="174">
        <f>SUM(I38:I40)</f>
        <v>0</v>
      </c>
      <c r="J42" s="13"/>
      <c r="N42" s="96">
        <v>10</v>
      </c>
      <c r="O42" s="95"/>
      <c r="P42" s="95" t="s">
        <v>671</v>
      </c>
      <c r="Q42" s="94" t="s">
        <v>672</v>
      </c>
    </row>
    <row r="43" spans="1:17" ht="15.75" thickTop="1" x14ac:dyDescent="0.25">
      <c r="A43" s="8"/>
      <c r="B43" s="3"/>
      <c r="C43" s="11"/>
      <c r="D43" s="10"/>
      <c r="E43" s="10"/>
      <c r="F43" s="11"/>
      <c r="G43" s="10"/>
      <c r="H43" s="10"/>
      <c r="I43" s="11"/>
      <c r="J43" s="13"/>
      <c r="N43" s="96">
        <v>11</v>
      </c>
      <c r="O43" s="95"/>
      <c r="P43" s="95" t="s">
        <v>673</v>
      </c>
      <c r="Q43" s="94" t="s">
        <v>674</v>
      </c>
    </row>
    <row r="44" spans="1:17" x14ac:dyDescent="0.25">
      <c r="A44" s="8"/>
      <c r="B44" s="146" t="s">
        <v>175</v>
      </c>
      <c r="C44" s="11"/>
      <c r="D44" s="15"/>
      <c r="E44" s="15"/>
      <c r="F44" s="175" t="s">
        <v>163</v>
      </c>
      <c r="G44" s="175" t="s">
        <v>164</v>
      </c>
      <c r="H44" s="175" t="s">
        <v>165</v>
      </c>
      <c r="I44" s="175" t="s">
        <v>166</v>
      </c>
      <c r="J44" s="13"/>
      <c r="N44" s="96">
        <v>12</v>
      </c>
      <c r="O44" s="95"/>
      <c r="P44" s="95" t="s">
        <v>675</v>
      </c>
      <c r="Q44" s="94" t="s">
        <v>676</v>
      </c>
    </row>
    <row r="45" spans="1:17" x14ac:dyDescent="0.25">
      <c r="A45" s="8"/>
      <c r="B45" s="151" t="s">
        <v>167</v>
      </c>
      <c r="C45" s="11"/>
      <c r="D45" s="47"/>
      <c r="E45" s="10"/>
      <c r="F45" s="176" t="str">
        <f>IF(General!$D$3 = "D20M++", IF(D45="","",(13*D45)+3), IF(D45="","",(16*D45)+3))</f>
        <v/>
      </c>
      <c r="G45" s="176" t="str">
        <f>IF(D45="","",(10*D45)+9)</f>
        <v/>
      </c>
      <c r="H45" s="176" t="str">
        <f>IF(D45="","",(5*D45)+(24*D45))</f>
        <v/>
      </c>
      <c r="I45" s="176" t="str">
        <f>IF(D45="","",D45)</f>
        <v/>
      </c>
      <c r="J45" s="13"/>
      <c r="N45" s="96">
        <v>13</v>
      </c>
      <c r="O45" s="95"/>
      <c r="P45" s="95" t="s">
        <v>677</v>
      </c>
      <c r="Q45" s="94" t="s">
        <v>678</v>
      </c>
    </row>
    <row r="46" spans="1:17" x14ac:dyDescent="0.25">
      <c r="A46" s="8"/>
      <c r="B46" s="151" t="s">
        <v>168</v>
      </c>
      <c r="C46" s="11"/>
      <c r="D46" s="47"/>
      <c r="E46" s="10"/>
      <c r="F46" s="176" t="str">
        <f>IF(General!$D$3 = "D20M++", IF(D46="","",(13*D46)+3), IF(D46="","",(16*D46)+3))</f>
        <v/>
      </c>
      <c r="G46" s="176" t="str">
        <f>IF(D46="","",(10*D46)+9)</f>
        <v/>
      </c>
      <c r="H46" s="176" t="str">
        <f>IF(D46="","",(5*D46)+(21*D46))</f>
        <v/>
      </c>
      <c r="I46" s="176" t="str">
        <f>IF(D46="","",D46)</f>
        <v/>
      </c>
      <c r="J46" s="13"/>
      <c r="N46" s="96">
        <v>14</v>
      </c>
      <c r="O46" s="95"/>
      <c r="P46" s="95" t="s">
        <v>679</v>
      </c>
      <c r="Q46" s="94" t="s">
        <v>680</v>
      </c>
    </row>
    <row r="47" spans="1:17" x14ac:dyDescent="0.25">
      <c r="A47" s="8"/>
      <c r="B47" s="151" t="s">
        <v>169</v>
      </c>
      <c r="C47" s="11"/>
      <c r="D47" s="47"/>
      <c r="E47" s="105"/>
      <c r="F47" s="176" t="str">
        <f>IF(General!$D$3 = "D20M++", IF(D47="","",(13*D47)+3+D48), IF(D47="","",(16*D47)+3+D48))</f>
        <v/>
      </c>
      <c r="G47" s="176" t="str">
        <f>IF(D47="","",(10*D47)+9)</f>
        <v/>
      </c>
      <c r="H47" s="176" t="str">
        <f>IF(D47="","",(5*D47)+(D49*D47))</f>
        <v/>
      </c>
      <c r="I47" s="176" t="str">
        <f>IF(D47="","",D47)</f>
        <v/>
      </c>
      <c r="J47" s="13"/>
      <c r="N47" s="96">
        <v>15</v>
      </c>
      <c r="O47" s="95"/>
      <c r="P47" s="95" t="s">
        <v>681</v>
      </c>
      <c r="Q47" s="94" t="s">
        <v>682</v>
      </c>
    </row>
    <row r="48" spans="1:17" x14ac:dyDescent="0.25">
      <c r="A48" s="8"/>
      <c r="B48" s="171" t="s">
        <v>704</v>
      </c>
      <c r="C48" s="11"/>
      <c r="D48" s="47"/>
      <c r="E48" s="10"/>
      <c r="F48" s="104"/>
      <c r="G48" s="104"/>
      <c r="H48" s="104"/>
      <c r="I48" s="104"/>
      <c r="J48" s="13"/>
      <c r="N48" s="96">
        <v>16</v>
      </c>
      <c r="O48" s="95"/>
      <c r="P48" s="95" t="s">
        <v>683</v>
      </c>
      <c r="Q48" s="94" t="s">
        <v>684</v>
      </c>
    </row>
    <row r="49" spans="1:17" ht="15.75" thickBot="1" x14ac:dyDescent="0.3">
      <c r="A49" s="8"/>
      <c r="B49" s="172" t="s">
        <v>170</v>
      </c>
      <c r="C49" s="11"/>
      <c r="D49" s="47"/>
      <c r="E49" s="173" t="s">
        <v>171</v>
      </c>
      <c r="F49" s="174">
        <f>SUM(F45:F47)</f>
        <v>0</v>
      </c>
      <c r="G49" s="174">
        <f>SUM(G45:G47)</f>
        <v>0</v>
      </c>
      <c r="H49" s="174">
        <f>SUM(H45:H47)</f>
        <v>0</v>
      </c>
      <c r="I49" s="174">
        <f>SUM(I45:I47)</f>
        <v>0</v>
      </c>
      <c r="J49" s="13"/>
      <c r="N49" s="96">
        <v>17</v>
      </c>
      <c r="O49" s="95"/>
      <c r="P49" s="95" t="s">
        <v>695</v>
      </c>
      <c r="Q49" s="94" t="s">
        <v>685</v>
      </c>
    </row>
    <row r="50" spans="1:17" ht="15.75" thickTop="1" x14ac:dyDescent="0.25">
      <c r="A50" s="8"/>
      <c r="B50" s="3"/>
      <c r="C50" s="11"/>
      <c r="D50" s="10"/>
      <c r="E50" s="10"/>
      <c r="F50" s="11"/>
      <c r="G50" s="10"/>
      <c r="H50" s="10"/>
      <c r="I50" s="11"/>
      <c r="J50" s="13"/>
      <c r="N50" s="96">
        <v>18</v>
      </c>
      <c r="O50" s="95"/>
      <c r="P50" s="95" t="s">
        <v>694</v>
      </c>
      <c r="Q50" s="94" t="s">
        <v>686</v>
      </c>
    </row>
    <row r="51" spans="1:17" ht="15.75" thickBot="1" x14ac:dyDescent="0.3">
      <c r="A51" s="8"/>
      <c r="B51" s="146" t="s">
        <v>705</v>
      </c>
      <c r="C51" s="11"/>
      <c r="D51" s="15"/>
      <c r="E51" s="15"/>
      <c r="F51" s="175" t="s">
        <v>163</v>
      </c>
      <c r="G51" s="175" t="s">
        <v>164</v>
      </c>
      <c r="H51" s="175" t="s">
        <v>165</v>
      </c>
      <c r="I51" s="175" t="s">
        <v>166</v>
      </c>
      <c r="J51" s="13"/>
      <c r="N51" s="93">
        <v>19</v>
      </c>
      <c r="O51" s="92"/>
      <c r="P51" s="92" t="s">
        <v>693</v>
      </c>
      <c r="Q51" s="91" t="s">
        <v>687</v>
      </c>
    </row>
    <row r="52" spans="1:17" x14ac:dyDescent="0.25">
      <c r="A52" s="8"/>
      <c r="B52" s="151" t="s">
        <v>167</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168</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169</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704</v>
      </c>
      <c r="C55" s="11"/>
      <c r="D55" s="47"/>
      <c r="E55" s="10"/>
      <c r="F55" s="104"/>
      <c r="G55" s="104"/>
      <c r="H55" s="104"/>
      <c r="I55" s="104"/>
      <c r="J55" s="13"/>
    </row>
    <row r="56" spans="1:17" ht="15.75" thickBot="1" x14ac:dyDescent="0.3">
      <c r="A56" s="8"/>
      <c r="B56" s="172" t="s">
        <v>170</v>
      </c>
      <c r="C56" s="11"/>
      <c r="D56" s="47"/>
      <c r="E56" s="173" t="s">
        <v>171</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D1:E1"/>
    <mergeCell ref="G1:H1"/>
    <mergeCell ref="D2:E2"/>
    <mergeCell ref="G2:H2"/>
    <mergeCell ref="D3:E3"/>
    <mergeCell ref="G3:H3"/>
    <mergeCell ref="J3:K3"/>
    <mergeCell ref="D6:E6"/>
    <mergeCell ref="G6:H6"/>
    <mergeCell ref="J6:K6"/>
    <mergeCell ref="D7:E7"/>
    <mergeCell ref="G7:H7"/>
    <mergeCell ref="J7:K7"/>
    <mergeCell ref="D4:E4"/>
    <mergeCell ref="J4:K4"/>
    <mergeCell ref="D8:E8"/>
    <mergeCell ref="G8:H8"/>
    <mergeCell ref="J8:K8"/>
    <mergeCell ref="D9:E9"/>
    <mergeCell ref="G9:H9"/>
    <mergeCell ref="J9:K9"/>
    <mergeCell ref="N31:Q31"/>
    <mergeCell ref="N9:Q9"/>
    <mergeCell ref="D12:E12"/>
    <mergeCell ref="G12:H12"/>
    <mergeCell ref="J12:K12"/>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193</v>
      </c>
    </row>
    <row r="2" spans="1:26" x14ac:dyDescent="0.25">
      <c r="A2" s="8"/>
      <c r="B2" s="146" t="s">
        <v>176</v>
      </c>
      <c r="C2" s="11"/>
      <c r="D2" s="86" t="str">
        <f>General!D5</f>
        <v>Ryne Swanbum</v>
      </c>
      <c r="E2" s="15"/>
      <c r="F2" s="85" t="str">
        <f>General!F6</f>
        <v>Mike Liska</v>
      </c>
      <c r="G2" s="11"/>
      <c r="H2" s="37"/>
      <c r="I2" s="13"/>
    </row>
    <row r="3" spans="1:26" ht="75" x14ac:dyDescent="0.25">
      <c r="A3" s="8"/>
      <c r="B3" s="151" t="s">
        <v>177</v>
      </c>
      <c r="C3" s="11"/>
      <c r="D3" s="45"/>
      <c r="E3" s="15"/>
      <c r="F3" s="45"/>
      <c r="G3" s="11"/>
      <c r="H3" s="177" t="s">
        <v>989</v>
      </c>
      <c r="I3" s="13"/>
    </row>
    <row r="4" spans="1:26" x14ac:dyDescent="0.25">
      <c r="A4" s="8"/>
      <c r="B4" s="159" t="s">
        <v>178</v>
      </c>
      <c r="C4" s="11"/>
      <c r="D4" s="37"/>
      <c r="E4" s="15"/>
      <c r="F4" s="15"/>
      <c r="G4" s="11"/>
      <c r="H4" s="37"/>
      <c r="I4" s="13"/>
    </row>
    <row r="5" spans="1:26" x14ac:dyDescent="0.25">
      <c r="A5" s="8"/>
      <c r="B5" s="151" t="s">
        <v>179</v>
      </c>
      <c r="C5" s="11"/>
      <c r="D5" s="14"/>
      <c r="E5" s="50"/>
      <c r="F5" s="31"/>
      <c r="G5" s="11"/>
      <c r="H5" s="37"/>
      <c r="I5" s="13"/>
    </row>
    <row r="6" spans="1:26" x14ac:dyDescent="0.25">
      <c r="A6" s="8"/>
      <c r="B6" s="151" t="s">
        <v>180</v>
      </c>
      <c r="C6" s="11"/>
      <c r="D6" s="28"/>
      <c r="E6" s="50"/>
      <c r="F6" s="31"/>
      <c r="G6" s="11"/>
      <c r="H6" s="37"/>
      <c r="I6" s="13"/>
    </row>
    <row r="7" spans="1:26" x14ac:dyDescent="0.25">
      <c r="A7" s="8"/>
      <c r="B7" s="151" t="s">
        <v>181</v>
      </c>
      <c r="C7" s="11"/>
      <c r="D7" s="14"/>
      <c r="E7" s="15"/>
      <c r="F7" s="31"/>
      <c r="G7" s="11"/>
      <c r="H7" s="37"/>
      <c r="I7" s="13"/>
    </row>
    <row r="8" spans="1:26" x14ac:dyDescent="0.25">
      <c r="A8" s="8"/>
      <c r="B8" s="159" t="s">
        <v>182</v>
      </c>
      <c r="C8" s="11"/>
      <c r="D8" s="37"/>
      <c r="E8" s="15"/>
      <c r="F8" s="15"/>
      <c r="G8" s="11"/>
      <c r="H8" s="37"/>
      <c r="I8" s="13"/>
    </row>
    <row r="9" spans="1:26" x14ac:dyDescent="0.25">
      <c r="A9" s="8"/>
      <c r="B9" s="147" t="s">
        <v>183</v>
      </c>
      <c r="C9" s="11"/>
      <c r="D9" s="37"/>
      <c r="E9" s="15"/>
      <c r="F9" s="15"/>
      <c r="G9" s="11"/>
      <c r="H9" s="37"/>
      <c r="I9" s="13"/>
    </row>
    <row r="10" spans="1:26" x14ac:dyDescent="0.25">
      <c r="A10" s="8"/>
      <c r="B10" s="171" t="s">
        <v>184</v>
      </c>
      <c r="C10" s="11"/>
      <c r="D10" s="14"/>
      <c r="E10" s="15"/>
      <c r="F10" s="31"/>
      <c r="G10" s="11"/>
      <c r="H10" s="178" t="b">
        <v>0</v>
      </c>
      <c r="I10" s="13"/>
    </row>
    <row r="11" spans="1:26" x14ac:dyDescent="0.25">
      <c r="A11" s="8"/>
      <c r="B11" s="147" t="s">
        <v>185</v>
      </c>
      <c r="C11" s="11"/>
      <c r="D11" s="37"/>
      <c r="E11" s="15"/>
      <c r="F11" s="15"/>
      <c r="G11" s="11"/>
      <c r="H11" s="37"/>
      <c r="I11" s="13"/>
    </row>
    <row r="12" spans="1:26" x14ac:dyDescent="0.25">
      <c r="A12" s="8"/>
      <c r="B12" s="171" t="s">
        <v>186</v>
      </c>
      <c r="C12" s="11"/>
      <c r="D12" s="14"/>
      <c r="E12" s="15"/>
      <c r="F12" s="31"/>
      <c r="G12" s="11"/>
      <c r="H12" s="178" t="b">
        <v>0</v>
      </c>
      <c r="I12" s="13"/>
    </row>
    <row r="13" spans="1:26" x14ac:dyDescent="0.25">
      <c r="A13" s="8"/>
      <c r="B13" s="171" t="s">
        <v>187</v>
      </c>
      <c r="C13" s="11"/>
      <c r="D13" s="14"/>
      <c r="E13" s="15"/>
      <c r="F13" s="31"/>
      <c r="G13" s="11"/>
      <c r="H13" s="178" t="b">
        <v>0</v>
      </c>
      <c r="I13" s="13"/>
    </row>
    <row r="14" spans="1:26" x14ac:dyDescent="0.25">
      <c r="A14" s="8"/>
      <c r="B14" s="171" t="s">
        <v>188</v>
      </c>
      <c r="C14" s="11"/>
      <c r="D14" s="14"/>
      <c r="E14" s="15"/>
      <c r="F14" s="31"/>
      <c r="G14" s="11"/>
      <c r="H14" s="178" t="s">
        <v>910</v>
      </c>
      <c r="I14" s="13"/>
    </row>
    <row r="15" spans="1:26" x14ac:dyDescent="0.25">
      <c r="A15" s="8"/>
      <c r="B15" s="171" t="s">
        <v>189</v>
      </c>
      <c r="C15" s="11"/>
      <c r="D15" s="14"/>
      <c r="E15" s="15"/>
      <c r="F15" s="31"/>
      <c r="G15" s="11"/>
      <c r="H15" s="178" t="s">
        <v>990</v>
      </c>
      <c r="I15" s="13"/>
    </row>
    <row r="16" spans="1:26" x14ac:dyDescent="0.25">
      <c r="A16" s="8"/>
      <c r="B16" s="171" t="s">
        <v>190</v>
      </c>
      <c r="C16" s="11"/>
      <c r="D16" s="14"/>
      <c r="E16" s="15"/>
      <c r="F16" s="31"/>
      <c r="G16" s="11"/>
      <c r="H16" s="178" t="s">
        <v>991</v>
      </c>
      <c r="I16" s="13"/>
    </row>
    <row r="17" spans="1:9" x14ac:dyDescent="0.25">
      <c r="A17" s="8"/>
      <c r="B17" s="171" t="s">
        <v>191</v>
      </c>
      <c r="C17" s="11"/>
      <c r="D17" s="14"/>
      <c r="E17" s="15"/>
      <c r="F17" s="31"/>
      <c r="G17" s="11"/>
      <c r="H17" s="178" t="s">
        <v>992</v>
      </c>
      <c r="I17" s="13"/>
    </row>
    <row r="18" spans="1:9" x14ac:dyDescent="0.25">
      <c r="A18" s="8"/>
      <c r="B18" s="172" t="s">
        <v>192</v>
      </c>
      <c r="C18" s="11"/>
      <c r="D18" s="14"/>
      <c r="E18" s="15"/>
      <c r="F18" s="31"/>
      <c r="G18" s="11"/>
      <c r="H18" s="178" t="s">
        <v>993</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51.28515625" style="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194</v>
      </c>
      <c r="C2" s="11"/>
      <c r="D2" s="10" t="str">
        <f>General!D5</f>
        <v>Ryne Swanbum</v>
      </c>
      <c r="E2" s="11"/>
      <c r="F2" s="10" t="str">
        <f>General!F6</f>
        <v>Mike Liska</v>
      </c>
      <c r="G2" s="11"/>
      <c r="H2" s="4"/>
      <c r="I2" s="13"/>
    </row>
    <row r="3" spans="1:9" ht="30" x14ac:dyDescent="0.25">
      <c r="A3" s="26"/>
      <c r="B3" s="148" t="s">
        <v>195</v>
      </c>
      <c r="C3" s="27"/>
      <c r="D3" s="28"/>
      <c r="E3" s="15"/>
      <c r="F3" s="29"/>
      <c r="G3" s="27"/>
      <c r="H3" s="150" t="s">
        <v>196</v>
      </c>
      <c r="I3" s="30"/>
    </row>
    <row r="4" spans="1:9" ht="30" x14ac:dyDescent="0.25">
      <c r="A4" s="26"/>
      <c r="B4" s="149" t="s">
        <v>197</v>
      </c>
      <c r="C4" s="27"/>
      <c r="D4" s="14"/>
      <c r="E4" s="15"/>
      <c r="F4" s="31"/>
      <c r="G4" s="27"/>
      <c r="H4" s="150" t="s">
        <v>198</v>
      </c>
      <c r="I4" s="30"/>
    </row>
    <row r="5" spans="1:9" x14ac:dyDescent="0.25">
      <c r="A5" s="8"/>
      <c r="B5" s="32"/>
      <c r="C5" s="11"/>
      <c r="D5" s="37"/>
      <c r="E5" s="15"/>
      <c r="F5" s="15"/>
      <c r="G5" s="11"/>
      <c r="H5" s="4"/>
      <c r="I5" s="13"/>
    </row>
    <row r="6" spans="1:9" x14ac:dyDescent="0.25">
      <c r="A6" s="8"/>
      <c r="B6" s="155" t="s">
        <v>199</v>
      </c>
      <c r="C6" s="11"/>
      <c r="D6" s="37"/>
      <c r="E6" s="15"/>
      <c r="F6" s="15"/>
      <c r="G6" s="11"/>
      <c r="H6" s="4"/>
      <c r="I6" s="13"/>
    </row>
    <row r="7" spans="1:9" x14ac:dyDescent="0.25">
      <c r="A7" s="8"/>
      <c r="B7" s="159" t="s">
        <v>200</v>
      </c>
      <c r="C7" s="11"/>
      <c r="D7" s="37"/>
      <c r="E7" s="15"/>
      <c r="F7" s="15"/>
      <c r="G7" s="11"/>
      <c r="H7" s="4"/>
      <c r="I7" s="13"/>
    </row>
    <row r="8" spans="1:9" x14ac:dyDescent="0.25">
      <c r="A8" s="8"/>
      <c r="B8" s="180" t="s">
        <v>201</v>
      </c>
      <c r="C8" s="11"/>
      <c r="D8" s="37"/>
      <c r="E8" s="15"/>
      <c r="F8" s="15"/>
      <c r="G8" s="11"/>
      <c r="H8" s="4"/>
      <c r="I8" s="13"/>
    </row>
    <row r="9" spans="1:9" x14ac:dyDescent="0.25">
      <c r="A9" s="8"/>
      <c r="B9" s="171" t="s">
        <v>202</v>
      </c>
      <c r="C9" s="11"/>
      <c r="D9" s="28"/>
      <c r="E9" s="15"/>
      <c r="F9" s="31"/>
      <c r="G9" s="11"/>
      <c r="H9" s="170" t="s">
        <v>203</v>
      </c>
      <c r="I9" s="13"/>
    </row>
    <row r="10" spans="1:9" x14ac:dyDescent="0.25">
      <c r="A10" s="8"/>
      <c r="B10" s="171" t="s">
        <v>204</v>
      </c>
      <c r="C10" s="11"/>
      <c r="D10" s="28"/>
      <c r="E10" s="15"/>
      <c r="F10" s="31"/>
      <c r="G10" s="11"/>
      <c r="H10" s="4"/>
      <c r="I10" s="13"/>
    </row>
    <row r="11" spans="1:9" x14ac:dyDescent="0.25">
      <c r="A11" s="8"/>
      <c r="B11" s="171" t="s">
        <v>205</v>
      </c>
      <c r="C11" s="11"/>
      <c r="D11" s="28"/>
      <c r="E11" s="15"/>
      <c r="F11" s="31"/>
      <c r="G11" s="11"/>
      <c r="H11" s="170" t="s">
        <v>206</v>
      </c>
      <c r="I11" s="13"/>
    </row>
    <row r="12" spans="1:9" x14ac:dyDescent="0.25">
      <c r="A12" s="8"/>
      <c r="B12" s="171" t="s">
        <v>776</v>
      </c>
      <c r="C12" s="11"/>
      <c r="D12" s="28"/>
      <c r="E12" s="15"/>
      <c r="F12" s="31"/>
      <c r="G12" s="11"/>
      <c r="H12" s="170" t="s">
        <v>777</v>
      </c>
      <c r="I12" s="13"/>
    </row>
    <row r="13" spans="1:9" x14ac:dyDescent="0.25">
      <c r="A13" s="8"/>
      <c r="B13" s="171" t="s">
        <v>622</v>
      </c>
      <c r="C13" s="11"/>
      <c r="D13" s="28"/>
      <c r="E13" s="15"/>
      <c r="F13" s="31"/>
      <c r="G13" s="11"/>
      <c r="H13" s="170" t="s">
        <v>629</v>
      </c>
      <c r="I13" s="13"/>
    </row>
    <row r="14" spans="1:9" x14ac:dyDescent="0.25">
      <c r="A14" s="8"/>
      <c r="B14" s="171" t="s">
        <v>623</v>
      </c>
      <c r="C14" s="11"/>
      <c r="D14" s="28"/>
      <c r="E14" s="15"/>
      <c r="F14" s="31"/>
      <c r="G14" s="11"/>
      <c r="H14" s="170" t="s">
        <v>630</v>
      </c>
      <c r="I14" s="13"/>
    </row>
    <row r="15" spans="1:9" x14ac:dyDescent="0.25">
      <c r="A15" s="8"/>
      <c r="B15" s="171" t="s">
        <v>207</v>
      </c>
      <c r="C15" s="11"/>
      <c r="D15" s="28"/>
      <c r="E15" s="15"/>
      <c r="F15" s="31"/>
      <c r="G15" s="11"/>
      <c r="H15" s="170" t="s">
        <v>208</v>
      </c>
      <c r="I15" s="13"/>
    </row>
    <row r="16" spans="1:9" x14ac:dyDescent="0.25">
      <c r="A16" s="8"/>
      <c r="B16" s="180" t="s">
        <v>209</v>
      </c>
      <c r="C16" s="11"/>
      <c r="D16" s="37"/>
      <c r="E16" s="15"/>
      <c r="F16" s="51"/>
      <c r="G16" s="11"/>
      <c r="H16" s="4"/>
      <c r="I16" s="13"/>
    </row>
    <row r="17" spans="1:9" x14ac:dyDescent="0.25">
      <c r="A17" s="8"/>
      <c r="B17" s="171" t="s">
        <v>210</v>
      </c>
      <c r="C17" s="11"/>
      <c r="D17" s="28"/>
      <c r="E17" s="15"/>
      <c r="F17" s="31"/>
      <c r="G17" s="11"/>
      <c r="H17" s="170" t="s">
        <v>211</v>
      </c>
      <c r="I17" s="13"/>
    </row>
    <row r="18" spans="1:9" x14ac:dyDescent="0.25">
      <c r="A18" s="8"/>
      <c r="B18" s="171" t="s">
        <v>212</v>
      </c>
      <c r="C18" s="11"/>
      <c r="D18" s="28"/>
      <c r="E18" s="15"/>
      <c r="F18" s="31"/>
      <c r="G18" s="11"/>
      <c r="H18" s="170" t="s">
        <v>211</v>
      </c>
      <c r="I18" s="13"/>
    </row>
    <row r="19" spans="1:9" x14ac:dyDescent="0.25">
      <c r="A19" s="8"/>
      <c r="B19" s="180" t="s">
        <v>213</v>
      </c>
      <c r="C19" s="11"/>
      <c r="D19" s="37"/>
      <c r="E19" s="15"/>
      <c r="F19" s="51"/>
      <c r="G19" s="11"/>
      <c r="H19" s="4"/>
      <c r="I19" s="13"/>
    </row>
    <row r="20" spans="1:9" x14ac:dyDescent="0.25">
      <c r="A20" s="8"/>
      <c r="B20" s="171" t="s">
        <v>214</v>
      </c>
      <c r="C20" s="11"/>
      <c r="D20" s="28"/>
      <c r="E20" s="15"/>
      <c r="F20" s="45"/>
      <c r="G20" s="11"/>
      <c r="H20" s="170">
        <v>5000</v>
      </c>
      <c r="I20" s="13"/>
    </row>
    <row r="21" spans="1:9" x14ac:dyDescent="0.25">
      <c r="A21" s="8"/>
      <c r="B21" s="171" t="s">
        <v>215</v>
      </c>
      <c r="C21" s="11"/>
      <c r="D21" s="28"/>
      <c r="E21" s="15"/>
      <c r="F21" s="45"/>
      <c r="G21" s="11"/>
      <c r="H21" s="170">
        <v>0</v>
      </c>
      <c r="I21" s="13"/>
    </row>
    <row r="22" spans="1:9" x14ac:dyDescent="0.25">
      <c r="A22" s="8"/>
      <c r="B22" s="171" t="s">
        <v>216</v>
      </c>
      <c r="C22" s="11"/>
      <c r="D22" s="28"/>
      <c r="E22" s="15"/>
      <c r="F22" s="45"/>
      <c r="G22" s="11"/>
      <c r="H22" s="170">
        <v>2000</v>
      </c>
      <c r="I22" s="13"/>
    </row>
    <row r="23" spans="1:9" x14ac:dyDescent="0.25">
      <c r="A23" s="8"/>
      <c r="B23" s="171" t="s">
        <v>217</v>
      </c>
      <c r="C23" s="11"/>
      <c r="D23" s="28"/>
      <c r="E23" s="15"/>
      <c r="F23" s="31"/>
      <c r="G23" s="11"/>
      <c r="H23" s="170">
        <v>3</v>
      </c>
      <c r="I23" s="13"/>
    </row>
    <row r="24" spans="1:9" x14ac:dyDescent="0.25">
      <c r="A24" s="8"/>
      <c r="B24" s="180" t="s">
        <v>218</v>
      </c>
      <c r="C24" s="11"/>
      <c r="D24" s="37"/>
      <c r="E24" s="15"/>
      <c r="F24" s="15"/>
      <c r="G24" s="11"/>
      <c r="H24" s="4"/>
      <c r="I24" s="13"/>
    </row>
    <row r="25" spans="1:9" x14ac:dyDescent="0.25">
      <c r="A25" s="8"/>
      <c r="B25" s="171" t="s">
        <v>743</v>
      </c>
      <c r="C25" s="11"/>
      <c r="D25" s="28"/>
      <c r="E25" s="15"/>
      <c r="F25" s="45"/>
      <c r="G25" s="11"/>
      <c r="H25" s="170" t="s">
        <v>744</v>
      </c>
      <c r="I25" s="13"/>
    </row>
    <row r="26" spans="1:9" x14ac:dyDescent="0.25">
      <c r="A26" s="8"/>
      <c r="B26" s="159" t="s">
        <v>185</v>
      </c>
      <c r="C26" s="11"/>
      <c r="D26" s="37"/>
      <c r="E26" s="15"/>
      <c r="F26" s="15"/>
      <c r="G26" s="11"/>
      <c r="H26" s="4"/>
      <c r="I26" s="13"/>
    </row>
    <row r="27" spans="1:9" x14ac:dyDescent="0.25">
      <c r="A27" s="8"/>
      <c r="B27" s="171" t="s">
        <v>219</v>
      </c>
      <c r="C27" s="11"/>
      <c r="D27" s="28"/>
      <c r="E27" s="15"/>
      <c r="F27" s="31"/>
      <c r="G27" s="11"/>
      <c r="H27" s="170" t="s">
        <v>220</v>
      </c>
      <c r="I27" s="13"/>
    </row>
    <row r="28" spans="1:9" x14ac:dyDescent="0.25">
      <c r="A28" s="8"/>
      <c r="B28" s="159" t="s">
        <v>221</v>
      </c>
      <c r="C28" s="11"/>
      <c r="D28" s="37"/>
      <c r="E28" s="15"/>
      <c r="F28" s="15"/>
      <c r="G28" s="11"/>
      <c r="H28" s="4"/>
      <c r="I28" s="13"/>
    </row>
    <row r="29" spans="1:9" ht="45" x14ac:dyDescent="0.25">
      <c r="A29" s="8"/>
      <c r="B29" s="172" t="s">
        <v>222</v>
      </c>
      <c r="C29" s="11"/>
      <c r="D29" s="28"/>
      <c r="E29" s="15"/>
      <c r="F29" s="31"/>
      <c r="G29" s="11"/>
      <c r="H29" s="179" t="s">
        <v>223</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224</v>
      </c>
      <c r="C2" s="11"/>
      <c r="D2" s="10" t="str">
        <f>General!D5</f>
        <v>Ryne Swanbum</v>
      </c>
      <c r="E2" s="11"/>
      <c r="F2" s="10" t="str">
        <f>General!F6</f>
        <v>Mike Liska</v>
      </c>
      <c r="G2" s="11"/>
      <c r="H2" s="4"/>
      <c r="I2" s="13"/>
    </row>
    <row r="3" spans="1:9" x14ac:dyDescent="0.25">
      <c r="A3" s="8"/>
      <c r="B3" s="151" t="s">
        <v>225</v>
      </c>
      <c r="C3" s="27"/>
      <c r="D3" s="28"/>
      <c r="E3" s="15"/>
      <c r="F3" s="31"/>
      <c r="G3" s="11"/>
      <c r="H3" s="150" t="s">
        <v>706</v>
      </c>
      <c r="I3" s="13"/>
    </row>
    <row r="4" spans="1:9" x14ac:dyDescent="0.25">
      <c r="A4" s="8"/>
      <c r="B4" s="152" t="s">
        <v>197</v>
      </c>
      <c r="C4" s="27"/>
      <c r="D4" s="28"/>
      <c r="E4" s="15"/>
      <c r="F4" s="31"/>
      <c r="G4" s="11"/>
      <c r="H4" s="150" t="s">
        <v>226</v>
      </c>
      <c r="I4" s="13"/>
    </row>
    <row r="5" spans="1:9" x14ac:dyDescent="0.25">
      <c r="A5" s="8"/>
      <c r="B5" s="11"/>
      <c r="C5" s="11"/>
      <c r="D5" s="37"/>
      <c r="E5" s="15"/>
      <c r="F5" s="15"/>
      <c r="G5" s="11"/>
      <c r="H5" s="4"/>
      <c r="I5" s="13"/>
    </row>
    <row r="6" spans="1:9" x14ac:dyDescent="0.25">
      <c r="A6" s="8"/>
      <c r="B6" s="146" t="s">
        <v>227</v>
      </c>
      <c r="C6" s="11"/>
      <c r="D6" s="37"/>
      <c r="E6" s="15"/>
      <c r="F6" s="15"/>
      <c r="G6" s="11"/>
      <c r="H6" s="4"/>
      <c r="I6" s="13"/>
    </row>
    <row r="7" spans="1:9" x14ac:dyDescent="0.25">
      <c r="A7" s="8"/>
      <c r="B7" s="147" t="s">
        <v>200</v>
      </c>
      <c r="C7" s="11"/>
      <c r="D7" s="37"/>
      <c r="E7" s="15"/>
      <c r="F7" s="15"/>
      <c r="G7" s="11"/>
      <c r="H7" s="4"/>
      <c r="I7" s="13"/>
    </row>
    <row r="8" spans="1:9" x14ac:dyDescent="0.25">
      <c r="A8" s="8"/>
      <c r="B8" s="181" t="s">
        <v>201</v>
      </c>
      <c r="C8" s="11"/>
      <c r="D8" s="37"/>
      <c r="E8" s="15"/>
      <c r="F8" s="15"/>
      <c r="G8" s="11"/>
      <c r="H8" s="4"/>
      <c r="I8" s="13"/>
    </row>
    <row r="9" spans="1:9" x14ac:dyDescent="0.25">
      <c r="A9" s="8"/>
      <c r="B9" s="182" t="s">
        <v>228</v>
      </c>
      <c r="C9" s="11"/>
      <c r="D9" s="28"/>
      <c r="E9" s="15"/>
      <c r="F9" s="31"/>
      <c r="G9" s="11"/>
      <c r="H9" s="170" t="s">
        <v>229</v>
      </c>
      <c r="I9" s="13"/>
    </row>
    <row r="10" spans="1:9" ht="30" x14ac:dyDescent="0.25">
      <c r="A10" s="8"/>
      <c r="B10" s="183" t="s">
        <v>205</v>
      </c>
      <c r="C10" s="11"/>
      <c r="D10" s="28"/>
      <c r="E10" s="15"/>
      <c r="F10" s="31"/>
      <c r="G10" s="27"/>
      <c r="H10" s="150" t="s">
        <v>707</v>
      </c>
      <c r="I10" s="13"/>
    </row>
    <row r="11" spans="1:9" x14ac:dyDescent="0.25">
      <c r="A11" s="8"/>
      <c r="B11" s="181" t="s">
        <v>209</v>
      </c>
      <c r="C11" s="11"/>
      <c r="D11" s="37"/>
      <c r="E11" s="15"/>
      <c r="F11" s="51"/>
      <c r="G11" s="11"/>
      <c r="H11" s="4"/>
      <c r="I11" s="13"/>
    </row>
    <row r="12" spans="1:9" x14ac:dyDescent="0.25">
      <c r="A12" s="8"/>
      <c r="B12" s="182" t="s">
        <v>210</v>
      </c>
      <c r="C12" s="11"/>
      <c r="D12" s="28"/>
      <c r="E12" s="15"/>
      <c r="F12" s="45"/>
      <c r="G12" s="11"/>
      <c r="H12" s="170" t="s">
        <v>211</v>
      </c>
      <c r="I12" s="13"/>
    </row>
    <row r="13" spans="1:9" x14ac:dyDescent="0.25">
      <c r="A13" s="8"/>
      <c r="B13" s="182" t="s">
        <v>212</v>
      </c>
      <c r="C13" s="11"/>
      <c r="D13" s="28"/>
      <c r="E13" s="15"/>
      <c r="F13" s="45"/>
      <c r="G13" s="11"/>
      <c r="H13" s="170" t="s">
        <v>211</v>
      </c>
      <c r="I13" s="13"/>
    </row>
    <row r="14" spans="1:9" x14ac:dyDescent="0.25">
      <c r="A14" s="8"/>
      <c r="B14" s="182" t="s">
        <v>230</v>
      </c>
      <c r="C14" s="11"/>
      <c r="D14" s="28"/>
      <c r="E14" s="15"/>
      <c r="F14" s="45"/>
      <c r="G14" s="11"/>
      <c r="H14" s="170" t="b">
        <v>0</v>
      </c>
      <c r="I14" s="13"/>
    </row>
    <row r="15" spans="1:9" x14ac:dyDescent="0.25">
      <c r="A15" s="8"/>
      <c r="B15" s="182" t="s">
        <v>231</v>
      </c>
      <c r="C15" s="11"/>
      <c r="D15" s="45"/>
      <c r="E15" s="15"/>
      <c r="F15" s="45"/>
      <c r="G15" s="11"/>
      <c r="H15" s="170" t="s">
        <v>232</v>
      </c>
      <c r="I15" s="13"/>
    </row>
    <row r="16" spans="1:9" x14ac:dyDescent="0.25">
      <c r="A16" s="8"/>
      <c r="B16" s="182" t="s">
        <v>741</v>
      </c>
      <c r="C16" s="11"/>
      <c r="D16" s="45"/>
      <c r="E16" s="15"/>
      <c r="F16" s="45"/>
      <c r="G16" s="11"/>
      <c r="H16" s="170" t="s">
        <v>742</v>
      </c>
      <c r="I16" s="13"/>
    </row>
    <row r="17" spans="1:9" x14ac:dyDescent="0.25">
      <c r="A17" s="8"/>
      <c r="B17" s="184" t="s">
        <v>233</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234</v>
      </c>
      <c r="C2" s="11"/>
      <c r="D2" s="10" t="str">
        <f>General!D5</f>
        <v>Ryne Swanbum</v>
      </c>
      <c r="E2" s="11"/>
      <c r="F2" s="10" t="str">
        <f>General!F6</f>
        <v>Mike Liska</v>
      </c>
      <c r="G2" s="11"/>
      <c r="H2" s="4"/>
      <c r="I2" s="13"/>
    </row>
    <row r="3" spans="1:9" x14ac:dyDescent="0.25">
      <c r="A3" s="8"/>
      <c r="B3" s="151" t="s">
        <v>235</v>
      </c>
      <c r="C3" s="11"/>
      <c r="D3" s="28"/>
      <c r="E3" s="15"/>
      <c r="F3" s="28"/>
      <c r="G3" s="11"/>
      <c r="H3" s="4"/>
      <c r="I3" s="13"/>
    </row>
    <row r="4" spans="1:9" x14ac:dyDescent="0.25">
      <c r="A4" s="8"/>
      <c r="B4" s="169" t="s">
        <v>236</v>
      </c>
      <c r="C4" s="11"/>
      <c r="D4" s="15"/>
      <c r="E4" s="15"/>
      <c r="F4" s="15"/>
      <c r="G4" s="11"/>
      <c r="H4" s="4"/>
      <c r="I4" s="13"/>
    </row>
    <row r="5" spans="1:9" x14ac:dyDescent="0.25">
      <c r="A5" s="8"/>
      <c r="B5" s="151" t="s">
        <v>237</v>
      </c>
      <c r="C5" s="11"/>
      <c r="D5" s="45"/>
      <c r="E5" s="15"/>
      <c r="F5" s="45"/>
      <c r="G5" s="11"/>
      <c r="H5" s="150">
        <v>2</v>
      </c>
      <c r="I5" s="13"/>
    </row>
    <row r="6" spans="1:9" x14ac:dyDescent="0.25">
      <c r="A6" s="8"/>
      <c r="B6" s="151" t="s">
        <v>238</v>
      </c>
      <c r="C6" s="11"/>
      <c r="D6" s="45"/>
      <c r="E6" s="15"/>
      <c r="F6" s="45"/>
      <c r="G6" s="11"/>
      <c r="H6" s="150">
        <v>2</v>
      </c>
      <c r="I6" s="13"/>
    </row>
    <row r="7" spans="1:9" x14ac:dyDescent="0.25">
      <c r="A7" s="8"/>
      <c r="B7" s="169" t="s">
        <v>239</v>
      </c>
      <c r="C7" s="11"/>
      <c r="D7" s="15"/>
      <c r="E7" s="15"/>
      <c r="F7" s="15"/>
      <c r="G7" s="11"/>
      <c r="H7" s="4"/>
      <c r="I7" s="13"/>
    </row>
    <row r="8" spans="1:9" x14ac:dyDescent="0.25">
      <c r="A8" s="8"/>
      <c r="B8" s="151" t="s">
        <v>240</v>
      </c>
      <c r="C8" s="11"/>
      <c r="D8" s="45"/>
      <c r="E8" s="15"/>
      <c r="F8" s="45"/>
      <c r="G8" s="11"/>
      <c r="H8" s="150">
        <v>2</v>
      </c>
      <c r="I8" s="13"/>
    </row>
    <row r="9" spans="1:9" x14ac:dyDescent="0.25">
      <c r="A9" s="8"/>
      <c r="B9" s="152" t="s">
        <v>241</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242</v>
      </c>
      <c r="C2" s="11"/>
      <c r="D2" s="10" t="str">
        <f>General!D5</f>
        <v>Ryne Swanbum</v>
      </c>
      <c r="E2" s="11"/>
      <c r="F2" s="10" t="str">
        <f>General!F6</f>
        <v>Mike Liska</v>
      </c>
      <c r="G2" s="11"/>
      <c r="H2" s="4"/>
      <c r="I2" s="13"/>
    </row>
    <row r="3" spans="1:9" x14ac:dyDescent="0.25">
      <c r="A3" s="8"/>
      <c r="B3" s="151" t="s">
        <v>243</v>
      </c>
      <c r="C3" s="27"/>
      <c r="D3" s="28" t="str">
        <f>IF(General!D3&lt;&gt;"AXION RTU","N/A","")</f>
        <v>N/A</v>
      </c>
      <c r="E3" s="15"/>
      <c r="F3" s="28" t="str">
        <f>IF(General!D3&lt;&gt;"AXION RTU","N/A","")</f>
        <v>N/A</v>
      </c>
      <c r="G3" s="11"/>
      <c r="H3" s="150" t="s">
        <v>244</v>
      </c>
      <c r="I3" s="13"/>
    </row>
    <row r="4" spans="1:9" x14ac:dyDescent="0.25">
      <c r="A4" s="8"/>
      <c r="B4" s="152" t="s">
        <v>245</v>
      </c>
      <c r="C4" s="27"/>
      <c r="D4" s="28" t="str">
        <f>IF(General!D3&lt;&gt;"AXION RTU","N/A","")</f>
        <v>N/A</v>
      </c>
      <c r="E4" s="15"/>
      <c r="F4" s="31" t="str">
        <f>IF(General!D3&lt;&gt;"AXION RTU","N/A","")</f>
        <v>N/A</v>
      </c>
      <c r="G4" s="11"/>
      <c r="H4" s="150" t="s">
        <v>246</v>
      </c>
      <c r="I4" s="13"/>
    </row>
    <row r="5" spans="1:9" x14ac:dyDescent="0.25">
      <c r="A5" s="8"/>
      <c r="B5" s="10"/>
      <c r="C5" s="27"/>
      <c r="D5" s="10"/>
      <c r="E5" s="11"/>
      <c r="F5" s="53"/>
      <c r="G5" s="11"/>
      <c r="H5" s="54"/>
      <c r="I5" s="13"/>
    </row>
    <row r="6" spans="1:9" x14ac:dyDescent="0.25">
      <c r="A6" s="8"/>
      <c r="B6" s="155" t="s">
        <v>580</v>
      </c>
      <c r="C6" s="27"/>
      <c r="D6" s="10"/>
      <c r="E6" s="11"/>
      <c r="F6" s="53"/>
      <c r="G6" s="11"/>
      <c r="H6" s="4"/>
      <c r="I6" s="13"/>
    </row>
    <row r="7" spans="1:9" x14ac:dyDescent="0.25">
      <c r="A7" s="8"/>
      <c r="B7" s="180" t="s">
        <v>581</v>
      </c>
      <c r="C7" s="27"/>
      <c r="D7" s="10"/>
      <c r="E7" s="11"/>
      <c r="F7" s="53"/>
      <c r="G7" s="11"/>
      <c r="H7" s="4"/>
      <c r="I7" s="13"/>
    </row>
    <row r="8" spans="1:9" x14ac:dyDescent="0.25">
      <c r="A8" s="8"/>
      <c r="B8" s="171" t="s">
        <v>247</v>
      </c>
      <c r="C8" s="27"/>
      <c r="D8" s="28" t="str">
        <f>IF(General!D3&lt;&gt;"AXION RTU","N/A","")</f>
        <v>N/A</v>
      </c>
      <c r="E8" s="15"/>
      <c r="F8" s="31" t="str">
        <f>IF(General!D3&lt;&gt;"AXION RTU","N/A","")</f>
        <v>N/A</v>
      </c>
      <c r="G8" s="11"/>
      <c r="H8" s="150" t="s">
        <v>248</v>
      </c>
      <c r="I8" s="13"/>
    </row>
    <row r="9" spans="1:9" x14ac:dyDescent="0.25">
      <c r="A9" s="8"/>
      <c r="B9" s="172" t="s">
        <v>249</v>
      </c>
      <c r="C9" s="27"/>
      <c r="D9" s="28" t="str">
        <f>IF(General!D3&lt;&gt;"AXION RTU","N/A","")</f>
        <v>N/A</v>
      </c>
      <c r="E9" s="15"/>
      <c r="F9" s="31" t="str">
        <f>IF(General!D3&lt;&gt;"AXION RTU","N/A","")</f>
        <v>N/A</v>
      </c>
      <c r="G9" s="11"/>
      <c r="H9" s="150" t="s">
        <v>250</v>
      </c>
      <c r="I9" s="13"/>
    </row>
    <row r="10" spans="1:9" x14ac:dyDescent="0.25">
      <c r="A10" s="8"/>
      <c r="B10" s="10"/>
      <c r="C10" s="27"/>
      <c r="D10" s="10"/>
      <c r="E10" s="11"/>
      <c r="F10" s="53"/>
      <c r="G10" s="11"/>
      <c r="H10" s="54"/>
      <c r="I10" s="13"/>
    </row>
    <row r="11" spans="1:9" x14ac:dyDescent="0.25">
      <c r="A11" s="8"/>
      <c r="B11" s="155" t="s">
        <v>315</v>
      </c>
      <c r="C11" s="27"/>
      <c r="D11" s="10"/>
      <c r="E11" s="11"/>
      <c r="F11" s="53"/>
      <c r="G11" s="11"/>
      <c r="H11" s="4"/>
      <c r="I11" s="13"/>
    </row>
    <row r="12" spans="1:9" x14ac:dyDescent="0.25">
      <c r="A12" s="8"/>
      <c r="B12" s="152" t="s">
        <v>775</v>
      </c>
      <c r="C12" s="27"/>
      <c r="D12" s="28"/>
      <c r="E12" s="15"/>
      <c r="F12" s="31"/>
      <c r="G12" s="11"/>
      <c r="H12" s="150" t="s">
        <v>895</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251</v>
      </c>
      <c r="C2" s="11"/>
      <c r="D2" s="10" t="str">
        <f>General!D5</f>
        <v>Ryne Swanbum</v>
      </c>
      <c r="E2" s="11"/>
      <c r="F2" s="10" t="str">
        <f>General!F6</f>
        <v>Mike Liska</v>
      </c>
      <c r="G2" s="11"/>
      <c r="H2" s="4"/>
      <c r="I2" s="13"/>
    </row>
    <row r="3" spans="1:9" x14ac:dyDescent="0.25">
      <c r="A3" s="27"/>
      <c r="B3" s="151" t="s">
        <v>252</v>
      </c>
      <c r="C3" s="27"/>
      <c r="D3" s="31" t="str">
        <f>IF(General!D3&lt;&gt;"AXION RTU","N/A","")</f>
        <v>N/A</v>
      </c>
      <c r="E3" s="15"/>
      <c r="F3" s="31" t="str">
        <f>IF(General!D3&lt;&gt;"AXION RTU","N/A","")</f>
        <v>N/A</v>
      </c>
      <c r="G3" s="11"/>
      <c r="H3" s="150" t="s">
        <v>253</v>
      </c>
      <c r="I3" s="13"/>
    </row>
    <row r="4" spans="1:9" x14ac:dyDescent="0.25">
      <c r="A4" s="27"/>
      <c r="B4" s="151" t="s">
        <v>254</v>
      </c>
      <c r="C4" s="27"/>
      <c r="D4" s="31" t="str">
        <f>IF(General!D3&lt;&gt;"AXION RTU","N/A","")</f>
        <v>N/A</v>
      </c>
      <c r="E4" s="15"/>
      <c r="F4" s="31" t="str">
        <f>IF(General!D3&lt;&gt;"AXION RTU","N/A","")</f>
        <v>N/A</v>
      </c>
      <c r="G4" s="11"/>
      <c r="H4" s="150" t="s">
        <v>255</v>
      </c>
      <c r="I4" s="13"/>
    </row>
    <row r="5" spans="1:9" x14ac:dyDescent="0.25">
      <c r="A5" s="27"/>
      <c r="B5" s="151" t="s">
        <v>256</v>
      </c>
      <c r="C5" s="27"/>
      <c r="D5" s="31" t="str">
        <f>IF(General!D3&lt;&gt;"AXION RTU","N/A","")</f>
        <v>N/A</v>
      </c>
      <c r="E5" s="15"/>
      <c r="F5" s="31" t="str">
        <f>IF(General!D3&lt;&gt;"AXION RTU","N/A","")</f>
        <v>N/A</v>
      </c>
      <c r="G5" s="11"/>
      <c r="H5" s="150" t="s">
        <v>257</v>
      </c>
      <c r="I5" s="13"/>
    </row>
    <row r="6" spans="1:9" x14ac:dyDescent="0.25">
      <c r="A6" s="11"/>
      <c r="B6" s="169" t="s">
        <v>787</v>
      </c>
      <c r="C6" s="11"/>
      <c r="D6" s="10"/>
      <c r="E6" s="11"/>
      <c r="F6" s="10"/>
      <c r="G6" s="11"/>
      <c r="H6" s="4"/>
      <c r="I6" s="13"/>
    </row>
    <row r="7" spans="1:9" x14ac:dyDescent="0.25">
      <c r="A7" s="27"/>
      <c r="B7" s="151" t="s">
        <v>788</v>
      </c>
      <c r="C7" s="27"/>
      <c r="D7" s="31" t="str">
        <f>IF(General!D3&lt;&gt;"AXION RTU","N/A","")</f>
        <v>N/A</v>
      </c>
      <c r="E7" s="15"/>
      <c r="F7" s="31" t="str">
        <f>IF(General!D3&lt;&gt;"AXION RTU","N/A","")</f>
        <v>N/A</v>
      </c>
      <c r="G7" s="11"/>
      <c r="H7" s="150" t="s">
        <v>789</v>
      </c>
      <c r="I7" s="13"/>
    </row>
    <row r="8" spans="1:9" x14ac:dyDescent="0.25">
      <c r="A8" s="27"/>
      <c r="B8" s="159" t="s">
        <v>780</v>
      </c>
      <c r="C8" s="27"/>
      <c r="D8" s="10"/>
      <c r="E8" s="11"/>
      <c r="F8" s="10"/>
      <c r="G8" s="11"/>
      <c r="H8" s="150"/>
      <c r="I8" s="13"/>
    </row>
    <row r="9" spans="1:9" x14ac:dyDescent="0.25">
      <c r="A9" s="27"/>
      <c r="B9" s="147" t="s">
        <v>200</v>
      </c>
      <c r="C9" s="27"/>
      <c r="D9" s="10"/>
      <c r="E9" s="11"/>
      <c r="F9" s="10"/>
      <c r="G9" s="11"/>
      <c r="H9" s="150"/>
      <c r="I9" s="13"/>
    </row>
    <row r="10" spans="1:9" x14ac:dyDescent="0.25">
      <c r="A10" s="27"/>
      <c r="B10" s="171" t="s">
        <v>781</v>
      </c>
      <c r="C10" s="27"/>
      <c r="D10" s="31" t="str">
        <f>IF(General!D3&lt;&gt;"AXION RTU","N/A","")</f>
        <v>N/A</v>
      </c>
      <c r="E10" s="15"/>
      <c r="F10" s="31" t="str">
        <f>IF(General!D3&lt;&gt;"AXION RTU","N/A","")</f>
        <v>N/A</v>
      </c>
      <c r="G10" s="11"/>
      <c r="H10" s="150" t="s">
        <v>782</v>
      </c>
      <c r="I10" s="13"/>
    </row>
    <row r="11" spans="1:9" x14ac:dyDescent="0.25">
      <c r="A11" s="27"/>
      <c r="B11" s="147" t="s">
        <v>236</v>
      </c>
      <c r="C11" s="27"/>
      <c r="D11" s="10"/>
      <c r="E11" s="11"/>
      <c r="F11" s="10"/>
      <c r="G11" s="11"/>
      <c r="H11" s="150"/>
      <c r="I11" s="13"/>
    </row>
    <row r="12" spans="1:9" x14ac:dyDescent="0.25">
      <c r="A12" s="27"/>
      <c r="B12" s="171" t="s">
        <v>784</v>
      </c>
      <c r="C12" s="27"/>
      <c r="D12" s="31" t="str">
        <f>IF(General!D3&lt;&gt;"AXION RTU","N/A","")</f>
        <v>N/A</v>
      </c>
      <c r="E12" s="15"/>
      <c r="F12" s="31" t="str">
        <f>IF(General!D3&lt;&gt;"AXION RTU","N/A","")</f>
        <v>N/A</v>
      </c>
      <c r="G12" s="11"/>
      <c r="H12" s="150">
        <v>32767</v>
      </c>
      <c r="I12" s="13"/>
    </row>
    <row r="13" spans="1:9" x14ac:dyDescent="0.25">
      <c r="A13" s="27"/>
      <c r="B13" s="171" t="s">
        <v>783</v>
      </c>
      <c r="C13" s="27"/>
      <c r="D13" s="31" t="str">
        <f>IF(General!D3&lt;&gt;"AXION RTU","N/A","")</f>
        <v>N/A</v>
      </c>
      <c r="E13" s="15"/>
      <c r="F13" s="31" t="str">
        <f>IF(General!D3&lt;&gt;"AXION RTU","N/A","")</f>
        <v>N/A</v>
      </c>
      <c r="G13" s="11"/>
      <c r="H13" s="150">
        <v>-32767</v>
      </c>
      <c r="I13" s="13"/>
    </row>
    <row r="14" spans="1:9" x14ac:dyDescent="0.25">
      <c r="A14" s="27"/>
      <c r="B14" s="171" t="s">
        <v>785</v>
      </c>
      <c r="C14" s="27"/>
      <c r="D14" s="31" t="str">
        <f>IF(General!D3&lt;&gt;"AXION RTU","N/A","")</f>
        <v>N/A</v>
      </c>
      <c r="E14" s="15"/>
      <c r="F14" s="31" t="str">
        <f>IF(General!D3&lt;&gt;"AXION RTU","N/A","")</f>
        <v>N/A</v>
      </c>
      <c r="G14" s="11"/>
      <c r="H14" s="150">
        <v>1</v>
      </c>
      <c r="I14" s="13"/>
    </row>
    <row r="15" spans="1:9" x14ac:dyDescent="0.25">
      <c r="A15" s="27"/>
      <c r="B15" s="172" t="s">
        <v>786</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258</v>
      </c>
      <c r="C17" s="11"/>
      <c r="D17" s="15"/>
      <c r="E17" s="15"/>
      <c r="F17" s="15"/>
      <c r="G17" s="11"/>
      <c r="H17" s="4"/>
      <c r="I17" s="13"/>
    </row>
    <row r="18" spans="1:9" x14ac:dyDescent="0.25">
      <c r="A18" s="11"/>
      <c r="B18" s="147" t="s">
        <v>259</v>
      </c>
      <c r="C18" s="11"/>
      <c r="D18" s="15"/>
      <c r="E18" s="15"/>
      <c r="F18" s="15"/>
      <c r="G18" s="11"/>
      <c r="H18" s="4"/>
      <c r="I18" s="13"/>
    </row>
    <row r="19" spans="1:9" x14ac:dyDescent="0.25">
      <c r="A19" s="27"/>
      <c r="B19" s="171" t="s">
        <v>260</v>
      </c>
      <c r="C19" s="27"/>
      <c r="D19" s="31" t="str">
        <f>IF(General!D3&lt;&gt;"AXION RTU","N/A","")</f>
        <v>N/A</v>
      </c>
      <c r="E19" s="15"/>
      <c r="F19" s="31" t="str">
        <f>IF(General!D3&lt;&gt;"AXION RTU","N/A","")</f>
        <v>N/A</v>
      </c>
      <c r="G19" s="11"/>
      <c r="H19" s="150" t="s">
        <v>261</v>
      </c>
      <c r="I19" s="13"/>
    </row>
    <row r="20" spans="1:9" x14ac:dyDescent="0.25">
      <c r="A20" s="27"/>
      <c r="B20" s="171" t="s">
        <v>262</v>
      </c>
      <c r="C20" s="27"/>
      <c r="D20" s="31" t="str">
        <f>IF(General!D3&lt;&gt;"AXION RTU","N/A","")</f>
        <v>N/A</v>
      </c>
      <c r="E20" s="15"/>
      <c r="F20" s="31" t="str">
        <f>IF(General!D3&lt;&gt;"AXION RTU","N/A","")</f>
        <v>N/A</v>
      </c>
      <c r="G20" s="11"/>
      <c r="H20" s="150" t="s">
        <v>263</v>
      </c>
      <c r="I20" s="13"/>
    </row>
    <row r="21" spans="1:9" x14ac:dyDescent="0.25">
      <c r="A21" s="11"/>
      <c r="B21" s="147" t="s">
        <v>185</v>
      </c>
      <c r="C21" s="11"/>
      <c r="D21" s="15"/>
      <c r="E21" s="15"/>
      <c r="F21" s="15"/>
      <c r="G21" s="11"/>
      <c r="H21" s="4"/>
      <c r="I21" s="13"/>
    </row>
    <row r="22" spans="1:9" x14ac:dyDescent="0.25">
      <c r="A22" s="11"/>
      <c r="B22" s="171" t="s">
        <v>264</v>
      </c>
      <c r="C22" s="11"/>
      <c r="D22" s="31" t="str">
        <f>IF(General!D3&lt;&gt;"AXION RTU","N/A","")</f>
        <v>N/A</v>
      </c>
      <c r="E22" s="15"/>
      <c r="F22" s="31" t="str">
        <f>IF(General!D3&lt;&gt;"AXION RTU","N/A","")</f>
        <v>N/A</v>
      </c>
      <c r="G22" s="11"/>
      <c r="H22" s="170" t="b">
        <v>0</v>
      </c>
      <c r="I22" s="13"/>
    </row>
    <row r="23" spans="1:9" x14ac:dyDescent="0.25">
      <c r="A23" s="11"/>
      <c r="B23" s="147" t="s">
        <v>265</v>
      </c>
      <c r="C23" s="11"/>
      <c r="D23" s="15"/>
      <c r="E23" s="15"/>
      <c r="F23" s="15"/>
      <c r="G23" s="11"/>
      <c r="H23" s="4"/>
      <c r="I23" s="13"/>
    </row>
    <row r="24" spans="1:9" x14ac:dyDescent="0.25">
      <c r="A24" s="11"/>
      <c r="B24" s="172" t="s">
        <v>266</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ht="13.9" x14ac:dyDescent="0.25">
      <c r="A1" s="2"/>
      <c r="B1" s="3"/>
      <c r="C1" s="3"/>
      <c r="D1" s="25" t="s">
        <v>44</v>
      </c>
      <c r="E1" s="3"/>
      <c r="F1" s="25" t="s">
        <v>45</v>
      </c>
      <c r="G1" s="3"/>
      <c r="H1" s="6" t="s">
        <v>46</v>
      </c>
      <c r="I1" s="7"/>
    </row>
    <row r="2" spans="1:9" ht="13.9" x14ac:dyDescent="0.25">
      <c r="A2" s="8"/>
      <c r="B2" s="146" t="s">
        <v>267</v>
      </c>
      <c r="C2" s="11"/>
      <c r="D2" s="10" t="str">
        <f>General!D5</f>
        <v>Ryne Swanbum</v>
      </c>
      <c r="E2" s="11"/>
      <c r="F2" s="10" t="str">
        <f>General!F6</f>
        <v>Mike Liska</v>
      </c>
      <c r="G2" s="11"/>
      <c r="H2" s="10"/>
      <c r="I2" s="13"/>
    </row>
    <row r="3" spans="1:9" ht="13.9" x14ac:dyDescent="0.25">
      <c r="A3" s="8"/>
      <c r="B3" s="162" t="s">
        <v>268</v>
      </c>
      <c r="C3" s="11"/>
      <c r="D3" s="28"/>
      <c r="E3" s="15"/>
      <c r="F3" s="31"/>
      <c r="G3" s="15"/>
      <c r="H3" s="178" t="s">
        <v>269</v>
      </c>
      <c r="I3" s="13"/>
    </row>
    <row r="4" spans="1:9" ht="13.9" x14ac:dyDescent="0.25">
      <c r="A4" s="8"/>
      <c r="B4" s="162" t="s">
        <v>197</v>
      </c>
      <c r="C4" s="11"/>
      <c r="D4" s="28"/>
      <c r="E4" s="15"/>
      <c r="F4" s="31"/>
      <c r="G4" s="15"/>
      <c r="H4" s="178" t="s">
        <v>270</v>
      </c>
      <c r="I4" s="13"/>
    </row>
    <row r="5" spans="1:9" ht="13.9" x14ac:dyDescent="0.25">
      <c r="A5" s="8"/>
      <c r="B5" s="169" t="s">
        <v>200</v>
      </c>
      <c r="C5" s="11"/>
      <c r="D5" s="15"/>
      <c r="E5" s="15"/>
      <c r="F5" s="15"/>
      <c r="G5" s="15"/>
      <c r="H5" s="37"/>
      <c r="I5" s="13"/>
    </row>
    <row r="6" spans="1:9" ht="13.9" x14ac:dyDescent="0.25">
      <c r="A6" s="8"/>
      <c r="B6" s="151" t="s">
        <v>271</v>
      </c>
      <c r="C6" s="11"/>
      <c r="D6" s="28"/>
      <c r="E6" s="15"/>
      <c r="F6" s="31"/>
      <c r="G6" s="15"/>
      <c r="H6" s="178" t="s">
        <v>272</v>
      </c>
      <c r="I6" s="13"/>
    </row>
    <row r="7" spans="1:9" ht="13.9" x14ac:dyDescent="0.25">
      <c r="A7" s="8"/>
      <c r="B7" s="151" t="s">
        <v>273</v>
      </c>
      <c r="C7" s="11"/>
      <c r="D7" s="28"/>
      <c r="E7" s="15"/>
      <c r="F7" s="31"/>
      <c r="G7" s="15"/>
      <c r="H7" s="178">
        <v>32500</v>
      </c>
      <c r="I7" s="13"/>
    </row>
    <row r="8" spans="1:9" ht="13.9" x14ac:dyDescent="0.25">
      <c r="A8" s="8"/>
      <c r="B8" s="169" t="s">
        <v>274</v>
      </c>
      <c r="C8" s="11"/>
      <c r="D8" s="15"/>
      <c r="E8" s="15"/>
      <c r="F8" s="15"/>
      <c r="G8" s="15"/>
      <c r="H8" s="37"/>
      <c r="I8" s="13"/>
    </row>
    <row r="9" spans="1:9" ht="13.9" x14ac:dyDescent="0.25">
      <c r="A9" s="8"/>
      <c r="B9" s="151" t="s">
        <v>275</v>
      </c>
      <c r="C9" s="11"/>
      <c r="D9" s="28"/>
      <c r="E9" s="15"/>
      <c r="F9" s="45"/>
      <c r="G9" s="15"/>
      <c r="H9" s="178" t="s">
        <v>276</v>
      </c>
      <c r="I9" s="13"/>
    </row>
    <row r="10" spans="1:9" ht="13.9" x14ac:dyDescent="0.25">
      <c r="A10" s="8"/>
      <c r="B10" s="151" t="s">
        <v>277</v>
      </c>
      <c r="C10" s="11"/>
      <c r="D10" s="28"/>
      <c r="E10" s="15"/>
      <c r="F10" s="31"/>
      <c r="G10" s="15"/>
      <c r="H10" s="178" t="s">
        <v>278</v>
      </c>
      <c r="I10" s="13"/>
    </row>
    <row r="11" spans="1:9" ht="13.9" x14ac:dyDescent="0.25">
      <c r="A11" s="8"/>
      <c r="B11" s="151" t="s">
        <v>279</v>
      </c>
      <c r="C11" s="11"/>
      <c r="D11" s="28"/>
      <c r="E11" s="15"/>
      <c r="F11" s="31"/>
      <c r="G11" s="15"/>
      <c r="H11" s="178" t="s">
        <v>734</v>
      </c>
      <c r="I11" s="13"/>
    </row>
    <row r="12" spans="1:9" ht="13.9" x14ac:dyDescent="0.25">
      <c r="A12" s="8"/>
      <c r="B12" s="151" t="s">
        <v>892</v>
      </c>
      <c r="C12" s="11"/>
      <c r="D12" s="28"/>
      <c r="E12" s="15"/>
      <c r="F12" s="31"/>
      <c r="G12" s="15"/>
      <c r="H12" s="178">
        <v>19200</v>
      </c>
      <c r="I12" s="13"/>
    </row>
    <row r="13" spans="1:9" ht="13.9" x14ac:dyDescent="0.25">
      <c r="A13" s="8"/>
      <c r="B13" s="147" t="s">
        <v>200</v>
      </c>
      <c r="C13" s="11"/>
      <c r="D13" s="15"/>
      <c r="E13" s="15"/>
      <c r="F13" s="15"/>
      <c r="G13" s="15"/>
      <c r="H13" s="37"/>
      <c r="I13" s="13"/>
    </row>
    <row r="14" spans="1:9" ht="13.9" x14ac:dyDescent="0.25">
      <c r="A14" s="8"/>
      <c r="B14" s="171" t="s">
        <v>280</v>
      </c>
      <c r="C14" s="11"/>
      <c r="D14" s="28"/>
      <c r="E14" s="15"/>
      <c r="F14" s="31"/>
      <c r="G14" s="15"/>
      <c r="H14" s="178" t="b">
        <v>1</v>
      </c>
      <c r="I14" s="13"/>
    </row>
    <row r="15" spans="1:9" ht="45" x14ac:dyDescent="0.25">
      <c r="A15" s="8"/>
      <c r="B15" s="171" t="s">
        <v>281</v>
      </c>
      <c r="C15" s="11"/>
      <c r="D15" s="28"/>
      <c r="E15" s="15"/>
      <c r="F15" s="31"/>
      <c r="G15" s="15"/>
      <c r="H15" s="177" t="s">
        <v>1003</v>
      </c>
      <c r="I15" s="13"/>
    </row>
    <row r="16" spans="1:9" ht="13.9" x14ac:dyDescent="0.25">
      <c r="A16" s="8"/>
      <c r="B16" s="147" t="s">
        <v>185</v>
      </c>
      <c r="C16" s="11"/>
      <c r="D16" s="15"/>
      <c r="E16" s="15"/>
      <c r="F16" s="15"/>
      <c r="G16" s="15"/>
      <c r="H16" s="37"/>
      <c r="I16" s="13"/>
    </row>
    <row r="17" spans="1:9" ht="13.9" x14ac:dyDescent="0.25">
      <c r="A17" s="8"/>
      <c r="B17" s="172" t="s">
        <v>282</v>
      </c>
      <c r="C17" s="11"/>
      <c r="D17" s="28"/>
      <c r="E17" s="15"/>
      <c r="F17" s="31"/>
      <c r="G17" s="15"/>
      <c r="H17" s="178" t="s">
        <v>283</v>
      </c>
      <c r="I17" s="13"/>
    </row>
    <row r="18" spans="1:9" ht="13.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285156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284</v>
      </c>
      <c r="C2" s="11"/>
      <c r="D2" s="10" t="str">
        <f>General!D5</f>
        <v>Ryne Swanbum</v>
      </c>
      <c r="E2" s="11"/>
      <c r="F2" s="10" t="str">
        <f>General!F6</f>
        <v>Mike Liska</v>
      </c>
      <c r="G2" s="11"/>
      <c r="H2" s="4"/>
      <c r="I2" s="13"/>
      <c r="K2" s="36" t="s">
        <v>31</v>
      </c>
    </row>
    <row r="3" spans="1:11" x14ac:dyDescent="0.25">
      <c r="A3" s="8"/>
      <c r="B3" s="162" t="s">
        <v>285</v>
      </c>
      <c r="C3" s="11"/>
      <c r="D3" s="28"/>
      <c r="E3" s="15"/>
      <c r="F3" s="31"/>
      <c r="G3" s="11"/>
      <c r="H3" s="4"/>
      <c r="I3" s="13"/>
    </row>
    <row r="4" spans="1:11" x14ac:dyDescent="0.25">
      <c r="A4" s="8"/>
      <c r="B4" s="151" t="s">
        <v>286</v>
      </c>
      <c r="C4" s="11"/>
      <c r="D4" s="28"/>
      <c r="E4" s="15"/>
      <c r="F4" s="31"/>
      <c r="G4" s="11"/>
      <c r="H4" s="4"/>
      <c r="I4" s="13"/>
    </row>
    <row r="5" spans="1:11" ht="45" x14ac:dyDescent="0.25">
      <c r="A5" s="8"/>
      <c r="B5" s="148" t="s">
        <v>287</v>
      </c>
      <c r="C5" s="11"/>
      <c r="D5" s="28" t="str">
        <f>IF(General!D3&lt;&gt;"AXION RTU","N/A","")</f>
        <v>N/A</v>
      </c>
      <c r="E5" s="15"/>
      <c r="F5" s="31" t="str">
        <f>IF(General!D3&lt;&gt;"AXION RTU","N/A","")</f>
        <v>N/A</v>
      </c>
      <c r="G5" s="11"/>
      <c r="H5" s="150" t="s">
        <v>317</v>
      </c>
      <c r="I5" s="13"/>
    </row>
    <row r="6" spans="1:11" x14ac:dyDescent="0.25">
      <c r="A6" s="8"/>
      <c r="B6" s="151" t="s">
        <v>288</v>
      </c>
      <c r="C6" s="11"/>
      <c r="D6" s="43"/>
      <c r="E6" s="15"/>
      <c r="F6" s="31"/>
      <c r="G6" s="11"/>
      <c r="H6" s="4"/>
      <c r="I6" s="13"/>
    </row>
    <row r="7" spans="1:11" x14ac:dyDescent="0.25">
      <c r="A7" s="8"/>
      <c r="B7" s="151" t="s">
        <v>289</v>
      </c>
      <c r="C7" s="11"/>
      <c r="D7" s="28"/>
      <c r="E7" s="15"/>
      <c r="F7" s="31"/>
      <c r="G7" s="11"/>
      <c r="H7" s="4"/>
      <c r="I7" s="13"/>
    </row>
    <row r="8" spans="1:11" x14ac:dyDescent="0.25">
      <c r="A8" s="8"/>
      <c r="B8" s="171" t="s">
        <v>290</v>
      </c>
      <c r="C8" s="11"/>
      <c r="D8" s="28" t="str">
        <f>IF(D7="N/A","N/A","")</f>
        <v/>
      </c>
      <c r="E8" s="15"/>
      <c r="F8" s="31"/>
      <c r="G8" s="11"/>
      <c r="H8" s="150" t="s">
        <v>291</v>
      </c>
      <c r="I8" s="13"/>
    </row>
    <row r="9" spans="1:11" x14ac:dyDescent="0.25">
      <c r="A9" s="8"/>
      <c r="B9" s="171" t="s">
        <v>292</v>
      </c>
      <c r="C9" s="27"/>
      <c r="D9" s="28" t="str">
        <f>IF(D7="N/A","N/A","")</f>
        <v/>
      </c>
      <c r="E9" s="15"/>
      <c r="F9" s="31"/>
      <c r="G9" s="11"/>
      <c r="H9" s="150" t="s">
        <v>293</v>
      </c>
      <c r="I9" s="13"/>
    </row>
    <row r="10" spans="1:11" x14ac:dyDescent="0.25">
      <c r="A10" s="8"/>
      <c r="B10" s="151" t="s">
        <v>294</v>
      </c>
      <c r="C10" s="11"/>
      <c r="D10" s="28"/>
      <c r="E10" s="15"/>
      <c r="F10" s="31"/>
      <c r="G10" s="11"/>
      <c r="H10" s="4"/>
      <c r="I10" s="13"/>
    </row>
    <row r="11" spans="1:11" x14ac:dyDescent="0.25">
      <c r="A11" s="8"/>
      <c r="B11" s="171" t="s">
        <v>947</v>
      </c>
      <c r="C11" s="11"/>
      <c r="D11" s="28" t="str">
        <f>IF(D10="N/A","N/A","")</f>
        <v/>
      </c>
      <c r="E11" s="15"/>
      <c r="F11" s="31"/>
      <c r="G11" s="11"/>
      <c r="H11" s="150" t="s">
        <v>291</v>
      </c>
      <c r="I11" s="13"/>
    </row>
    <row r="12" spans="1:11" x14ac:dyDescent="0.25">
      <c r="A12" s="8"/>
      <c r="B12" s="171" t="s">
        <v>948</v>
      </c>
      <c r="C12" s="27"/>
      <c r="D12" s="28" t="str">
        <f>IF(D10="N/A","N/A","")</f>
        <v/>
      </c>
      <c r="E12" s="15"/>
      <c r="F12" s="31"/>
      <c r="G12" s="11"/>
      <c r="H12" s="150" t="s">
        <v>293</v>
      </c>
      <c r="I12" s="13"/>
    </row>
    <row r="13" spans="1:11" x14ac:dyDescent="0.25">
      <c r="A13" s="8"/>
      <c r="B13" s="151" t="s">
        <v>295</v>
      </c>
      <c r="C13" s="11"/>
      <c r="D13" s="28"/>
      <c r="E13" s="15"/>
      <c r="F13" s="31"/>
      <c r="G13" s="11"/>
      <c r="H13" s="4"/>
      <c r="I13" s="13"/>
    </row>
    <row r="14" spans="1:11" x14ac:dyDescent="0.25">
      <c r="A14" s="8"/>
      <c r="B14" s="171" t="s">
        <v>949</v>
      </c>
      <c r="C14" s="11"/>
      <c r="D14" s="28" t="str">
        <f>IF(D13="N/A","N/A","")</f>
        <v/>
      </c>
      <c r="E14" s="15"/>
      <c r="F14" s="31"/>
      <c r="G14" s="11"/>
      <c r="H14" s="150" t="s">
        <v>291</v>
      </c>
      <c r="I14" s="13"/>
    </row>
    <row r="15" spans="1:11" x14ac:dyDescent="0.25">
      <c r="A15" s="8"/>
      <c r="B15" s="171" t="s">
        <v>950</v>
      </c>
      <c r="C15" s="27"/>
      <c r="D15" s="28" t="str">
        <f>IF(D13="N/A","N/A","")</f>
        <v/>
      </c>
      <c r="E15" s="15"/>
      <c r="F15" s="31"/>
      <c r="G15" s="11"/>
      <c r="H15" s="150" t="s">
        <v>293</v>
      </c>
      <c r="I15" s="13"/>
    </row>
    <row r="16" spans="1:11" x14ac:dyDescent="0.25">
      <c r="A16" s="8"/>
      <c r="B16" s="151" t="s">
        <v>296</v>
      </c>
      <c r="C16" s="11"/>
      <c r="D16" s="28"/>
      <c r="E16" s="15"/>
      <c r="F16" s="31"/>
      <c r="G16" s="11"/>
      <c r="H16" s="4"/>
      <c r="I16" s="13"/>
    </row>
    <row r="17" spans="1:9" x14ac:dyDescent="0.25">
      <c r="A17" s="8"/>
      <c r="B17" s="151" t="s">
        <v>297</v>
      </c>
      <c r="C17" s="11"/>
      <c r="D17" s="28"/>
      <c r="E17" s="15"/>
      <c r="F17" s="31"/>
      <c r="G17" s="11"/>
      <c r="H17" s="4"/>
      <c r="I17" s="13"/>
    </row>
    <row r="18" spans="1:9" x14ac:dyDescent="0.25">
      <c r="A18" s="8"/>
      <c r="B18" s="171" t="s">
        <v>298</v>
      </c>
      <c r="C18" s="27"/>
      <c r="D18" s="28" t="str">
        <f>IF(D17="N/A","N/A","")</f>
        <v/>
      </c>
      <c r="E18" s="15"/>
      <c r="F18" s="31"/>
      <c r="G18" s="11"/>
      <c r="H18" s="150" t="s">
        <v>299</v>
      </c>
      <c r="I18" s="13"/>
    </row>
    <row r="19" spans="1:9" x14ac:dyDescent="0.25">
      <c r="A19" s="8"/>
      <c r="B19" s="171" t="s">
        <v>300</v>
      </c>
      <c r="C19" s="27"/>
      <c r="D19" s="28" t="str">
        <f>IF(D17="N/A","N/A","")</f>
        <v/>
      </c>
      <c r="E19" s="15"/>
      <c r="F19" s="31"/>
      <c r="G19" s="11"/>
      <c r="H19" s="150" t="s">
        <v>293</v>
      </c>
      <c r="I19" s="13"/>
    </row>
    <row r="20" spans="1:9" x14ac:dyDescent="0.25">
      <c r="A20" s="8"/>
      <c r="B20" s="180" t="s">
        <v>301</v>
      </c>
      <c r="C20" s="27"/>
      <c r="D20" s="87"/>
      <c r="E20" s="11"/>
      <c r="F20" s="88"/>
      <c r="G20" s="11"/>
      <c r="H20" s="4"/>
      <c r="I20" s="13"/>
    </row>
    <row r="21" spans="1:9" x14ac:dyDescent="0.25">
      <c r="A21" s="8"/>
      <c r="B21" s="171" t="s">
        <v>302</v>
      </c>
      <c r="C21" s="27"/>
      <c r="D21" s="28" t="str">
        <f>IF(General!D3&lt;&gt;"AXION RTU","N/A","")</f>
        <v>N/A</v>
      </c>
      <c r="E21" s="15"/>
      <c r="F21" s="31" t="str">
        <f>IF(General!D3&lt;&gt;"AXION RTU","N/A","")</f>
        <v>N/A</v>
      </c>
      <c r="G21" s="11"/>
      <c r="H21" s="4"/>
      <c r="I21" s="13"/>
    </row>
    <row r="22" spans="1:9" ht="30" x14ac:dyDescent="0.25">
      <c r="A22" s="8"/>
      <c r="B22" s="171" t="s">
        <v>976</v>
      </c>
      <c r="C22" s="27"/>
      <c r="D22" s="28" t="str">
        <f>IF(General!D3&lt;&gt;"AXION RTU","N/A","")</f>
        <v>N/A</v>
      </c>
      <c r="E22" s="15"/>
      <c r="F22" s="31" t="str">
        <f>IF(General!D3&lt;&gt;"AXION RTU","N/A","")</f>
        <v>N/A</v>
      </c>
      <c r="G22" s="11"/>
      <c r="H22" s="150" t="s">
        <v>975</v>
      </c>
      <c r="I22" s="13"/>
    </row>
    <row r="23" spans="1:9" x14ac:dyDescent="0.25">
      <c r="A23" s="8"/>
      <c r="B23" s="171" t="s">
        <v>303</v>
      </c>
      <c r="C23" s="27"/>
      <c r="D23" s="28" t="str">
        <f>IF(General!D3&lt;&gt;"AXION RTU","N/A","")</f>
        <v>N/A</v>
      </c>
      <c r="E23" s="15"/>
      <c r="F23" s="31" t="str">
        <f>IF(General!D3&lt;&gt;"AXION RTU","N/A","")</f>
        <v>N/A</v>
      </c>
      <c r="G23" s="11"/>
      <c r="H23" s="150" t="s">
        <v>304</v>
      </c>
      <c r="I23" s="13"/>
    </row>
    <row r="24" spans="1:9" x14ac:dyDescent="0.25">
      <c r="A24" s="8"/>
      <c r="B24" s="171" t="s">
        <v>305</v>
      </c>
      <c r="C24" s="27"/>
      <c r="D24" s="28" t="str">
        <f>IF(General!D3&lt;&gt;"AXION RTU","N/A","")</f>
        <v>N/A</v>
      </c>
      <c r="E24" s="15"/>
      <c r="F24" s="31" t="str">
        <f>IF(General!D3&lt;&gt;"AXION RTU","N/A","")</f>
        <v>N/A</v>
      </c>
      <c r="G24" s="11"/>
      <c r="H24" s="185" t="s">
        <v>306</v>
      </c>
      <c r="I24" s="13"/>
    </row>
    <row r="25" spans="1:9" x14ac:dyDescent="0.25">
      <c r="A25" s="8"/>
      <c r="B25" s="171" t="s">
        <v>974</v>
      </c>
      <c r="C25" s="11"/>
      <c r="D25" s="28" t="str">
        <f>IF(General!D3&lt;&gt;"AXION RTU","N/A","")</f>
        <v>N/A</v>
      </c>
      <c r="E25" s="15"/>
      <c r="F25" s="31" t="str">
        <f>IF(General!D3&lt;&gt;"AXION RTU","N/A","")</f>
        <v>N/A</v>
      </c>
      <c r="G25" s="11"/>
      <c r="H25" s="185" t="s">
        <v>730</v>
      </c>
      <c r="I25" s="13"/>
    </row>
    <row r="26" spans="1:9" x14ac:dyDescent="0.25">
      <c r="A26" s="8"/>
      <c r="B26" s="180" t="s">
        <v>727</v>
      </c>
      <c r="C26" s="27"/>
      <c r="D26" s="87"/>
      <c r="E26" s="11"/>
      <c r="F26" s="88"/>
      <c r="G26" s="11"/>
      <c r="H26" s="4"/>
      <c r="I26" s="13"/>
    </row>
    <row r="27" spans="1:9" x14ac:dyDescent="0.25">
      <c r="A27" s="8"/>
      <c r="B27" s="171" t="s">
        <v>728</v>
      </c>
      <c r="C27" s="27"/>
      <c r="D27" s="28"/>
      <c r="E27" s="15"/>
      <c r="F27" s="31"/>
      <c r="G27" s="11"/>
      <c r="H27" s="150" t="s">
        <v>733</v>
      </c>
      <c r="I27" s="13"/>
    </row>
    <row r="28" spans="1:9" x14ac:dyDescent="0.25">
      <c r="A28" s="8"/>
      <c r="B28" s="171" t="s">
        <v>729</v>
      </c>
      <c r="C28" s="27"/>
      <c r="D28" s="28"/>
      <c r="E28" s="15"/>
      <c r="F28" s="31"/>
      <c r="G28" s="11"/>
      <c r="H28" s="150" t="s">
        <v>730</v>
      </c>
      <c r="I28" s="13"/>
    </row>
    <row r="29" spans="1:9" x14ac:dyDescent="0.25">
      <c r="A29" s="8"/>
      <c r="B29" s="171" t="s">
        <v>731</v>
      </c>
      <c r="C29" s="27"/>
      <c r="D29" s="28"/>
      <c r="E29" s="15"/>
      <c r="F29" s="31"/>
      <c r="G29" s="11"/>
      <c r="H29" s="150" t="s">
        <v>732</v>
      </c>
      <c r="I29" s="13"/>
    </row>
    <row r="30" spans="1:9" x14ac:dyDescent="0.25">
      <c r="A30" s="8"/>
      <c r="B30" s="180" t="s">
        <v>242</v>
      </c>
      <c r="C30" s="27"/>
      <c r="D30" s="87"/>
      <c r="E30" s="11"/>
      <c r="F30" s="88"/>
      <c r="G30" s="11"/>
      <c r="H30" s="4"/>
      <c r="I30" s="13"/>
    </row>
    <row r="31" spans="1:9" x14ac:dyDescent="0.25">
      <c r="A31" s="8"/>
      <c r="B31" s="171" t="s">
        <v>307</v>
      </c>
      <c r="C31" s="27"/>
      <c r="D31" s="28" t="str">
        <f>IF(General!D3&lt;&gt;"AXION RTU","N/A","")</f>
        <v>N/A</v>
      </c>
      <c r="E31" s="15"/>
      <c r="F31" s="31" t="str">
        <f>IF(General!D3&lt;&gt;"AXION RTU","N/A","")</f>
        <v>N/A</v>
      </c>
      <c r="G31" s="11"/>
      <c r="H31" s="150" t="s">
        <v>308</v>
      </c>
      <c r="I31" s="13"/>
    </row>
    <row r="32" spans="1:9" x14ac:dyDescent="0.25">
      <c r="A32" s="8"/>
      <c r="B32" s="171" t="s">
        <v>298</v>
      </c>
      <c r="C32" s="27"/>
      <c r="D32" s="28" t="str">
        <f>IF(General!D3&lt;&gt;"AXION RTU","N/A","")</f>
        <v>N/A</v>
      </c>
      <c r="E32" s="15"/>
      <c r="F32" s="31" t="str">
        <f>IF(General!D3&lt;&gt;"AXION RTU","N/A","")</f>
        <v>N/A</v>
      </c>
      <c r="G32" s="11"/>
      <c r="H32" s="150" t="s">
        <v>309</v>
      </c>
      <c r="I32" s="13"/>
    </row>
    <row r="33" spans="1:9" x14ac:dyDescent="0.25">
      <c r="A33" s="8"/>
      <c r="B33" s="171" t="s">
        <v>300</v>
      </c>
      <c r="C33" s="27"/>
      <c r="D33" s="28" t="str">
        <f>IF(General!D3&lt;&gt;"AXION RTU","N/A","")</f>
        <v>N/A</v>
      </c>
      <c r="E33" s="15"/>
      <c r="F33" s="31" t="str">
        <f>IF(General!D3&lt;&gt;"AXION RTU","N/A","")</f>
        <v>N/A</v>
      </c>
      <c r="G33" s="11"/>
      <c r="H33" s="150" t="s">
        <v>310</v>
      </c>
      <c r="I33" s="13"/>
    </row>
    <row r="34" spans="1:9" x14ac:dyDescent="0.25">
      <c r="A34" s="8"/>
      <c r="B34" s="180" t="s">
        <v>311</v>
      </c>
      <c r="C34" s="27"/>
      <c r="D34" s="87"/>
      <c r="E34" s="11"/>
      <c r="F34" s="88"/>
      <c r="G34" s="11"/>
      <c r="H34" s="4"/>
      <c r="I34" s="13"/>
    </row>
    <row r="35" spans="1:9" x14ac:dyDescent="0.25">
      <c r="A35" s="8"/>
      <c r="B35" s="171" t="s">
        <v>307</v>
      </c>
      <c r="C35" s="27"/>
      <c r="D35" s="28" t="str">
        <f>IF(General!D3&lt;&gt;"AXION RTU","N/A","")</f>
        <v>N/A</v>
      </c>
      <c r="E35" s="15"/>
      <c r="F35" s="31" t="str">
        <f>IF(General!D3&lt;&gt;"AXION RTU","N/A","")</f>
        <v>N/A</v>
      </c>
      <c r="G35" s="11"/>
      <c r="H35" s="150" t="s">
        <v>312</v>
      </c>
      <c r="I35" s="13"/>
    </row>
    <row r="36" spans="1:9" x14ac:dyDescent="0.25">
      <c r="A36" s="8"/>
      <c r="B36" s="171" t="s">
        <v>298</v>
      </c>
      <c r="C36" s="27"/>
      <c r="D36" s="28" t="str">
        <f>IF(General!D3&lt;&gt;"AXION RTU","N/A","")</f>
        <v>N/A</v>
      </c>
      <c r="E36" s="15"/>
      <c r="F36" s="31" t="str">
        <f>IF(General!D3&lt;&gt;"AXION RTU","N/A","")</f>
        <v>N/A</v>
      </c>
      <c r="G36" s="11"/>
      <c r="H36" s="150" t="s">
        <v>313</v>
      </c>
      <c r="I36" s="13"/>
    </row>
    <row r="37" spans="1:9" x14ac:dyDescent="0.25">
      <c r="A37" s="8"/>
      <c r="B37" s="171" t="s">
        <v>300</v>
      </c>
      <c r="C37" s="27"/>
      <c r="D37" s="28" t="str">
        <f>IF(General!D3&lt;&gt;"AXION RTU","N/A","")</f>
        <v>N/A</v>
      </c>
      <c r="E37" s="15"/>
      <c r="F37" s="31" t="str">
        <f>IF(General!D3&lt;&gt;"AXION RTU","N/A","")</f>
        <v>N/A</v>
      </c>
      <c r="G37" s="11"/>
      <c r="H37" s="150" t="s">
        <v>314</v>
      </c>
      <c r="I37" s="13"/>
    </row>
    <row r="38" spans="1:9" x14ac:dyDescent="0.25">
      <c r="A38" s="8"/>
      <c r="B38" s="180" t="s">
        <v>315</v>
      </c>
      <c r="C38" s="11"/>
      <c r="D38" s="87"/>
      <c r="E38" s="11"/>
      <c r="F38" s="88"/>
      <c r="G38" s="11"/>
      <c r="H38" s="4"/>
      <c r="I38" s="13"/>
    </row>
    <row r="39" spans="1:9" x14ac:dyDescent="0.25">
      <c r="A39" s="8"/>
      <c r="B39" s="171" t="s">
        <v>307</v>
      </c>
      <c r="C39" s="27"/>
      <c r="D39" s="28" t="str">
        <f>IF(General!D3&lt;&gt;"AXION RTU","N/A","")</f>
        <v>N/A</v>
      </c>
      <c r="E39" s="15"/>
      <c r="F39" s="31" t="str">
        <f>IF(General!D3&lt;&gt;"AXION RTU","N/A","")</f>
        <v>N/A</v>
      </c>
      <c r="G39" s="11"/>
      <c r="H39" s="150" t="s">
        <v>316</v>
      </c>
      <c r="I39" s="13"/>
    </row>
    <row r="40" spans="1:9" x14ac:dyDescent="0.25">
      <c r="A40" s="8"/>
      <c r="B40" s="171" t="s">
        <v>298</v>
      </c>
      <c r="C40" s="27"/>
      <c r="D40" s="28" t="str">
        <f>IF(General!D3&lt;&gt;"AXION RTU","N/A","")</f>
        <v>N/A</v>
      </c>
      <c r="E40" s="15"/>
      <c r="F40" s="31" t="str">
        <f>IF(General!D3&lt;&gt;"AXION RTU","N/A","")</f>
        <v>N/A</v>
      </c>
      <c r="G40" s="11"/>
      <c r="H40" s="150" t="s">
        <v>299</v>
      </c>
      <c r="I40" s="13"/>
    </row>
    <row r="41" spans="1:9" x14ac:dyDescent="0.25">
      <c r="A41" s="8"/>
      <c r="B41" s="172" t="s">
        <v>300</v>
      </c>
      <c r="C41" s="27"/>
      <c r="D41" s="28" t="str">
        <f>IF(General!D3&lt;&gt;"AXION RTU","N/A","")</f>
        <v>N/A</v>
      </c>
      <c r="E41" s="15"/>
      <c r="F41" s="31" t="str">
        <f>IF(General!D3&lt;&gt;"AXION RTU","N/A","")</f>
        <v>N/A</v>
      </c>
      <c r="G41" s="11"/>
      <c r="H41" s="150" t="s">
        <v>293</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530</v>
      </c>
      <c r="C2" s="11"/>
      <c r="D2" s="86" t="str">
        <f>General!D5</f>
        <v>Ryne Swanbum</v>
      </c>
      <c r="E2" s="15"/>
      <c r="F2" s="85" t="str">
        <f>General!F6</f>
        <v>Mike Liska</v>
      </c>
      <c r="G2" s="11"/>
      <c r="H2" s="37"/>
      <c r="I2" s="13"/>
    </row>
    <row r="3" spans="1:9" x14ac:dyDescent="0.25">
      <c r="A3" s="8"/>
      <c r="B3" s="151" t="s">
        <v>531</v>
      </c>
      <c r="C3" s="11"/>
      <c r="D3" s="45"/>
      <c r="E3" s="15"/>
      <c r="F3" s="45"/>
      <c r="G3" s="11"/>
      <c r="H3" s="178" t="s">
        <v>532</v>
      </c>
      <c r="I3" s="13"/>
    </row>
    <row r="4" spans="1:9" x14ac:dyDescent="0.25">
      <c r="A4" s="8"/>
      <c r="B4" s="151" t="s">
        <v>740</v>
      </c>
      <c r="C4" s="11"/>
      <c r="D4" s="28"/>
      <c r="E4" s="15"/>
      <c r="F4" s="45"/>
      <c r="G4" s="11"/>
      <c r="H4" s="178" t="s">
        <v>533</v>
      </c>
      <c r="I4" s="13"/>
    </row>
    <row r="5" spans="1:9" x14ac:dyDescent="0.25">
      <c r="A5" s="8"/>
      <c r="B5" s="151" t="s">
        <v>534</v>
      </c>
      <c r="C5" s="11"/>
      <c r="D5" s="28"/>
      <c r="E5" s="15"/>
      <c r="F5" s="55"/>
      <c r="G5" s="11"/>
      <c r="H5" s="177" t="s">
        <v>535</v>
      </c>
      <c r="I5" s="13"/>
    </row>
    <row r="6" spans="1:9" x14ac:dyDescent="0.25">
      <c r="A6" s="8"/>
      <c r="B6" s="151" t="s">
        <v>536</v>
      </c>
      <c r="C6" s="11"/>
      <c r="D6" s="28"/>
      <c r="E6" s="15"/>
      <c r="F6" s="45"/>
      <c r="G6" s="11"/>
      <c r="H6" s="178" t="s">
        <v>537</v>
      </c>
      <c r="I6" s="13"/>
    </row>
    <row r="7" spans="1:9" x14ac:dyDescent="0.25">
      <c r="A7" s="8"/>
      <c r="B7" s="151" t="s">
        <v>631</v>
      </c>
      <c r="C7" s="11"/>
      <c r="D7" s="37"/>
      <c r="E7" s="15"/>
      <c r="F7" s="15"/>
      <c r="G7" s="11"/>
      <c r="H7" s="37"/>
      <c r="I7" s="13"/>
    </row>
    <row r="8" spans="1:9" x14ac:dyDescent="0.25">
      <c r="A8" s="8"/>
      <c r="B8" s="151" t="s">
        <v>538</v>
      </c>
      <c r="C8" s="11"/>
      <c r="D8" s="28"/>
      <c r="E8" s="15"/>
      <c r="F8" s="45"/>
      <c r="G8" s="11"/>
      <c r="H8" s="178" t="s">
        <v>539</v>
      </c>
      <c r="I8" s="13"/>
    </row>
    <row r="9" spans="1:9" x14ac:dyDescent="0.25">
      <c r="A9" s="8"/>
      <c r="B9" s="151" t="s">
        <v>540</v>
      </c>
      <c r="C9" s="11"/>
      <c r="D9" s="28"/>
      <c r="E9" s="15"/>
      <c r="F9" s="45"/>
      <c r="G9" s="11"/>
      <c r="H9" s="178" t="s">
        <v>541</v>
      </c>
      <c r="I9" s="13"/>
    </row>
    <row r="10" spans="1:9" x14ac:dyDescent="0.25">
      <c r="A10" s="8"/>
      <c r="B10" s="151" t="s">
        <v>542</v>
      </c>
      <c r="C10" s="11"/>
      <c r="D10" s="28"/>
      <c r="E10" s="15"/>
      <c r="F10" s="45"/>
      <c r="G10" s="11"/>
      <c r="H10" s="178" t="s">
        <v>543</v>
      </c>
      <c r="I10" s="13"/>
    </row>
    <row r="11" spans="1:9" x14ac:dyDescent="0.25">
      <c r="A11" s="8"/>
      <c r="B11" s="169" t="s">
        <v>544</v>
      </c>
      <c r="C11" s="11"/>
      <c r="D11" s="37"/>
      <c r="E11" s="15"/>
      <c r="F11" s="15"/>
      <c r="G11" s="11"/>
      <c r="H11" s="56"/>
      <c r="I11" s="13"/>
    </row>
    <row r="12" spans="1:9" x14ac:dyDescent="0.25">
      <c r="A12" s="8"/>
      <c r="B12" s="151" t="s">
        <v>545</v>
      </c>
      <c r="C12" s="11"/>
      <c r="D12" s="28"/>
      <c r="E12" s="15"/>
      <c r="F12" s="45"/>
      <c r="G12" s="11"/>
      <c r="H12" s="178" t="s">
        <v>546</v>
      </c>
      <c r="I12" s="13"/>
    </row>
    <row r="13" spans="1:9" x14ac:dyDescent="0.25">
      <c r="A13" s="8"/>
      <c r="B13" s="147" t="s">
        <v>324</v>
      </c>
      <c r="C13" s="11"/>
      <c r="D13" s="37"/>
      <c r="E13" s="15"/>
      <c r="F13" s="15"/>
      <c r="G13" s="11"/>
      <c r="H13" s="56"/>
      <c r="I13" s="13"/>
    </row>
    <row r="14" spans="1:9" x14ac:dyDescent="0.25">
      <c r="A14" s="8"/>
      <c r="B14" s="171" t="s">
        <v>547</v>
      </c>
      <c r="C14" s="11"/>
      <c r="D14" s="28"/>
      <c r="E14" s="15"/>
      <c r="F14" s="45"/>
      <c r="G14" s="11"/>
      <c r="H14" s="178" t="s">
        <v>548</v>
      </c>
      <c r="I14" s="13"/>
    </row>
    <row r="15" spans="1:9" x14ac:dyDescent="0.25">
      <c r="A15" s="8"/>
      <c r="B15" s="171" t="s">
        <v>549</v>
      </c>
      <c r="C15" s="11"/>
      <c r="D15" s="28"/>
      <c r="E15" s="15"/>
      <c r="F15" s="45"/>
      <c r="G15" s="11"/>
      <c r="H15" s="178" t="s">
        <v>550</v>
      </c>
      <c r="I15" s="13"/>
    </row>
    <row r="16" spans="1:9" x14ac:dyDescent="0.25">
      <c r="A16" s="8"/>
      <c r="B16" s="171" t="s">
        <v>551</v>
      </c>
      <c r="C16" s="11"/>
      <c r="D16" s="28"/>
      <c r="E16" s="15"/>
      <c r="F16" s="45"/>
      <c r="G16" s="11"/>
      <c r="H16" s="178" t="s">
        <v>552</v>
      </c>
      <c r="I16" s="13"/>
    </row>
    <row r="17" spans="1:9" x14ac:dyDescent="0.25">
      <c r="A17" s="8"/>
      <c r="B17" s="171" t="s">
        <v>632</v>
      </c>
      <c r="C17" s="11"/>
      <c r="D17" s="28"/>
      <c r="E17" s="15"/>
      <c r="F17" s="45"/>
      <c r="G17" s="11"/>
      <c r="H17" s="178" t="s">
        <v>553</v>
      </c>
      <c r="I17" s="13"/>
    </row>
    <row r="18" spans="1:9" x14ac:dyDescent="0.25">
      <c r="A18" s="8"/>
      <c r="B18" s="171" t="s">
        <v>633</v>
      </c>
      <c r="C18" s="11"/>
      <c r="D18" s="28"/>
      <c r="E18" s="15"/>
      <c r="F18" s="45"/>
      <c r="G18" s="11"/>
      <c r="H18" s="178" t="s">
        <v>554</v>
      </c>
      <c r="I18" s="13"/>
    </row>
    <row r="19" spans="1:9" x14ac:dyDescent="0.25">
      <c r="A19" s="8"/>
      <c r="B19" s="159" t="s">
        <v>555</v>
      </c>
      <c r="C19" s="11"/>
      <c r="D19" s="37"/>
      <c r="E19" s="15"/>
      <c r="F19" s="15"/>
      <c r="G19" s="11"/>
      <c r="H19" s="37"/>
      <c r="I19" s="13"/>
    </row>
    <row r="20" spans="1:9" x14ac:dyDescent="0.25">
      <c r="A20" s="8"/>
      <c r="B20" s="151" t="s">
        <v>556</v>
      </c>
      <c r="C20" s="11"/>
      <c r="D20" s="28"/>
      <c r="E20" s="15"/>
      <c r="F20" s="45"/>
      <c r="G20" s="11"/>
      <c r="H20" s="178" t="s">
        <v>557</v>
      </c>
      <c r="I20" s="13"/>
    </row>
    <row r="21" spans="1:9" x14ac:dyDescent="0.25">
      <c r="A21" s="8"/>
      <c r="B21" s="162" t="s">
        <v>558</v>
      </c>
      <c r="C21" s="11"/>
      <c r="D21" s="28"/>
      <c r="E21" s="15"/>
      <c r="F21" s="45"/>
      <c r="G21" s="11"/>
      <c r="H21" s="178" t="s">
        <v>559</v>
      </c>
      <c r="I21" s="13"/>
    </row>
    <row r="22" spans="1:9" ht="30" x14ac:dyDescent="0.25">
      <c r="A22" s="8"/>
      <c r="B22" s="151" t="s">
        <v>560</v>
      </c>
      <c r="C22" s="11"/>
      <c r="D22" s="28"/>
      <c r="E22" s="15"/>
      <c r="F22" s="45"/>
      <c r="G22" s="11"/>
      <c r="H22" s="177" t="s">
        <v>561</v>
      </c>
      <c r="I22" s="13"/>
    </row>
    <row r="23" spans="1:9" x14ac:dyDescent="0.25">
      <c r="A23" s="8"/>
      <c r="B23" s="151" t="s">
        <v>625</v>
      </c>
      <c r="C23" s="11"/>
      <c r="D23" s="28"/>
      <c r="E23" s="15"/>
      <c r="F23" s="45"/>
      <c r="G23" s="11"/>
      <c r="H23" s="177" t="s">
        <v>626</v>
      </c>
      <c r="I23" s="13"/>
    </row>
    <row r="24" spans="1:9" x14ac:dyDescent="0.25">
      <c r="A24" s="8"/>
      <c r="B24" s="169" t="s">
        <v>234</v>
      </c>
      <c r="C24" s="11"/>
      <c r="D24" s="37"/>
      <c r="E24" s="11"/>
      <c r="F24" s="15"/>
      <c r="G24" s="11"/>
      <c r="H24" s="37"/>
      <c r="I24" s="13"/>
    </row>
    <row r="25" spans="1:9" x14ac:dyDescent="0.25">
      <c r="A25" s="8"/>
      <c r="B25" s="151" t="s">
        <v>235</v>
      </c>
      <c r="C25" s="11"/>
      <c r="D25" s="14"/>
      <c r="E25" s="11"/>
      <c r="F25" s="31"/>
      <c r="G25" s="11"/>
      <c r="H25" s="150" t="s">
        <v>562</v>
      </c>
      <c r="I25" s="13"/>
    </row>
    <row r="26" spans="1:9" x14ac:dyDescent="0.25">
      <c r="A26" s="8"/>
      <c r="B26" s="169" t="s">
        <v>563</v>
      </c>
      <c r="C26" s="11"/>
      <c r="D26" s="37"/>
      <c r="E26" s="11"/>
      <c r="F26" s="15"/>
      <c r="G26" s="11"/>
      <c r="H26" s="37"/>
      <c r="I26" s="13"/>
    </row>
    <row r="27" spans="1:9" x14ac:dyDescent="0.25">
      <c r="A27" s="8"/>
      <c r="B27" s="148" t="s">
        <v>564</v>
      </c>
      <c r="C27" s="11"/>
      <c r="D27" s="14"/>
      <c r="E27" s="11"/>
      <c r="F27" s="31"/>
      <c r="G27" s="11"/>
      <c r="H27" s="150" t="s">
        <v>565</v>
      </c>
      <c r="I27" s="13"/>
    </row>
    <row r="28" spans="1:9" x14ac:dyDescent="0.25">
      <c r="A28" s="8"/>
      <c r="B28" s="148" t="s">
        <v>566</v>
      </c>
      <c r="C28" s="11"/>
      <c r="D28" s="14"/>
      <c r="E28" s="11"/>
      <c r="F28" s="31"/>
      <c r="G28" s="11"/>
      <c r="H28" s="150" t="s">
        <v>567</v>
      </c>
      <c r="I28" s="13"/>
    </row>
    <row r="29" spans="1:9" x14ac:dyDescent="0.25">
      <c r="A29" s="8"/>
      <c r="B29" s="149" t="s">
        <v>568</v>
      </c>
      <c r="C29" s="11"/>
      <c r="D29" s="14"/>
      <c r="E29" s="11"/>
      <c r="F29" s="31"/>
      <c r="G29" s="11"/>
      <c r="H29" s="150" t="s">
        <v>569</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206" t="s">
        <v>447</v>
      </c>
      <c r="B1" s="206"/>
      <c r="C1" s="206"/>
      <c r="D1" s="206"/>
      <c r="E1" s="206"/>
      <c r="F1" s="206"/>
      <c r="G1" s="206"/>
      <c r="H1" s="206"/>
      <c r="I1" s="206"/>
      <c r="J1" s="206"/>
      <c r="K1" s="206"/>
    </row>
    <row r="2" spans="1:11" x14ac:dyDescent="0.25">
      <c r="A2" s="206"/>
      <c r="B2" s="206"/>
      <c r="C2" s="206"/>
      <c r="D2" s="206"/>
      <c r="E2" s="206"/>
      <c r="F2" s="206"/>
      <c r="G2" s="206"/>
      <c r="H2" s="206"/>
      <c r="I2" s="206"/>
      <c r="J2" s="206"/>
      <c r="K2" s="206"/>
    </row>
    <row r="3" spans="1:11" x14ac:dyDescent="0.25">
      <c r="A3" s="57" t="s">
        <v>448</v>
      </c>
      <c r="C3" s="58" t="s">
        <v>449</v>
      </c>
      <c r="E3" s="58" t="s">
        <v>450</v>
      </c>
      <c r="G3" s="58" t="s">
        <v>451</v>
      </c>
      <c r="I3" s="58" t="s">
        <v>452</v>
      </c>
      <c r="K3" s="58" t="s">
        <v>453</v>
      </c>
    </row>
    <row r="4" spans="1:11" x14ac:dyDescent="0.25">
      <c r="A4" s="59" t="s">
        <v>454</v>
      </c>
      <c r="C4" s="60" t="s">
        <v>455</v>
      </c>
      <c r="E4" s="59" t="s">
        <v>456</v>
      </c>
      <c r="G4" s="61" t="s">
        <v>457</v>
      </c>
      <c r="I4" s="61" t="s">
        <v>458</v>
      </c>
      <c r="K4" s="61" t="s">
        <v>459</v>
      </c>
    </row>
    <row r="5" spans="1:11" x14ac:dyDescent="0.25">
      <c r="A5" s="59" t="s">
        <v>460</v>
      </c>
      <c r="C5" s="61" t="s">
        <v>461</v>
      </c>
      <c r="E5" s="61" t="s">
        <v>462</v>
      </c>
      <c r="G5" s="62" t="s">
        <v>463</v>
      </c>
      <c r="I5" s="61" t="s">
        <v>464</v>
      </c>
      <c r="K5" s="62" t="s">
        <v>465</v>
      </c>
    </row>
    <row r="6" spans="1:11" x14ac:dyDescent="0.25">
      <c r="A6" s="59" t="s">
        <v>466</v>
      </c>
      <c r="E6" s="61" t="s">
        <v>467</v>
      </c>
      <c r="G6" s="62" t="s">
        <v>468</v>
      </c>
      <c r="I6" s="61" t="s">
        <v>469</v>
      </c>
      <c r="K6" s="62" t="s">
        <v>470</v>
      </c>
    </row>
    <row r="7" spans="1:11" x14ac:dyDescent="0.25">
      <c r="A7" s="59" t="s">
        <v>471</v>
      </c>
      <c r="E7" s="61" t="s">
        <v>472</v>
      </c>
      <c r="G7" s="62" t="s">
        <v>473</v>
      </c>
      <c r="I7" s="61" t="s">
        <v>474</v>
      </c>
      <c r="K7" s="62" t="s">
        <v>475</v>
      </c>
    </row>
    <row r="8" spans="1:11" x14ac:dyDescent="0.25">
      <c r="A8" s="59" t="s">
        <v>476</v>
      </c>
      <c r="E8" s="63" t="s">
        <v>477</v>
      </c>
      <c r="G8" s="64" t="s">
        <v>478</v>
      </c>
      <c r="I8" s="61" t="s">
        <v>479</v>
      </c>
      <c r="K8" s="62" t="s">
        <v>480</v>
      </c>
    </row>
    <row r="9" spans="1:11" x14ac:dyDescent="0.25">
      <c r="A9" s="59" t="s">
        <v>481</v>
      </c>
      <c r="E9" s="63" t="s">
        <v>482</v>
      </c>
      <c r="I9" s="61" t="s">
        <v>483</v>
      </c>
    </row>
    <row r="10" spans="1:11" x14ac:dyDescent="0.25">
      <c r="A10" s="59" t="s">
        <v>484</v>
      </c>
      <c r="I10" s="61" t="s">
        <v>485</v>
      </c>
    </row>
    <row r="11" spans="1:11" x14ac:dyDescent="0.25">
      <c r="A11" s="59" t="s">
        <v>486</v>
      </c>
    </row>
    <row r="12" spans="1:11" x14ac:dyDescent="0.25">
      <c r="A12" s="65"/>
    </row>
    <row r="13" spans="1:11" x14ac:dyDescent="0.25">
      <c r="A13" s="66" t="s">
        <v>487</v>
      </c>
      <c r="I13" s="61" t="s">
        <v>488</v>
      </c>
    </row>
    <row r="15" spans="1:11" x14ac:dyDescent="0.25">
      <c r="A15" s="59"/>
      <c r="G15" s="207" t="s">
        <v>489</v>
      </c>
      <c r="H15" s="207"/>
      <c r="I15" s="207"/>
      <c r="J15" s="207"/>
      <c r="K15" s="207"/>
    </row>
    <row r="16" spans="1:11" x14ac:dyDescent="0.25">
      <c r="A16" s="67" t="s">
        <v>490</v>
      </c>
      <c r="C16" s="67" t="s">
        <v>491</v>
      </c>
      <c r="E16" s="67" t="s">
        <v>492</v>
      </c>
      <c r="G16" s="67" t="s">
        <v>493</v>
      </c>
      <c r="I16" s="67" t="s">
        <v>494</v>
      </c>
      <c r="K16" s="67" t="s">
        <v>495</v>
      </c>
    </row>
    <row r="17" spans="1:11" x14ac:dyDescent="0.25">
      <c r="A17" s="59" t="s">
        <v>496</v>
      </c>
      <c r="C17" s="61" t="s">
        <v>497</v>
      </c>
      <c r="E17" s="61" t="s">
        <v>498</v>
      </c>
      <c r="G17" s="1" t="s">
        <v>499</v>
      </c>
      <c r="I17" s="1" t="s">
        <v>500</v>
      </c>
      <c r="K17" s="1" t="s">
        <v>501</v>
      </c>
    </row>
    <row r="18" spans="1:11" x14ac:dyDescent="0.25">
      <c r="A18" s="59" t="s">
        <v>502</v>
      </c>
      <c r="C18" s="68" t="s">
        <v>503</v>
      </c>
      <c r="E18" s="68" t="s">
        <v>503</v>
      </c>
      <c r="G18" s="1" t="s">
        <v>504</v>
      </c>
      <c r="I18" s="1" t="s">
        <v>505</v>
      </c>
      <c r="K18" s="1" t="s">
        <v>506</v>
      </c>
    </row>
    <row r="19" spans="1:11" x14ac:dyDescent="0.25">
      <c r="A19" s="59" t="s">
        <v>507</v>
      </c>
      <c r="G19" s="1" t="s">
        <v>508</v>
      </c>
      <c r="I19" s="1" t="s">
        <v>509</v>
      </c>
      <c r="K19" s="1" t="s">
        <v>510</v>
      </c>
    </row>
    <row r="20" spans="1:11" x14ac:dyDescent="0.25">
      <c r="A20" s="59" t="s">
        <v>511</v>
      </c>
      <c r="G20" s="1" t="s">
        <v>512</v>
      </c>
      <c r="I20" s="1" t="s">
        <v>513</v>
      </c>
      <c r="K20" s="1" t="s">
        <v>514</v>
      </c>
    </row>
    <row r="21" spans="1:11" x14ac:dyDescent="0.25">
      <c r="A21" s="59" t="s">
        <v>515</v>
      </c>
      <c r="G21" s="1" t="s">
        <v>516</v>
      </c>
      <c r="I21" s="1" t="s">
        <v>517</v>
      </c>
      <c r="K21" s="1" t="s">
        <v>518</v>
      </c>
    </row>
    <row r="22" spans="1:11" x14ac:dyDescent="0.25">
      <c r="A22" s="59" t="s">
        <v>519</v>
      </c>
      <c r="G22" s="1" t="s">
        <v>520</v>
      </c>
      <c r="I22" s="1" t="s">
        <v>521</v>
      </c>
      <c r="K22" s="1" t="s">
        <v>522</v>
      </c>
    </row>
    <row r="23" spans="1:11" x14ac:dyDescent="0.25">
      <c r="A23" s="59" t="s">
        <v>523</v>
      </c>
      <c r="G23" s="1" t="s">
        <v>524</v>
      </c>
    </row>
    <row r="24" spans="1:11" x14ac:dyDescent="0.25">
      <c r="A24" s="59" t="s">
        <v>525</v>
      </c>
    </row>
    <row r="25" spans="1:11" x14ac:dyDescent="0.25">
      <c r="A25" s="69" t="s">
        <v>526</v>
      </c>
    </row>
    <row r="26" spans="1:11" x14ac:dyDescent="0.25">
      <c r="A26" s="69" t="s">
        <v>527</v>
      </c>
    </row>
    <row r="27" spans="1:11" x14ac:dyDescent="0.25">
      <c r="A27" s="59" t="s">
        <v>528</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6"/>
  <sheetViews>
    <sheetView workbookViewId="0"/>
  </sheetViews>
  <sheetFormatPr defaultColWidth="2.85546875" defaultRowHeight="15" x14ac:dyDescent="0.25"/>
  <cols>
    <col min="1" max="1" width="2.7109375" style="1" customWidth="1"/>
    <col min="2" max="2" width="43.5703125" style="1" customWidth="1"/>
    <col min="3" max="3" width="2.85546875" style="1"/>
    <col min="4" max="4" width="25.5703125" style="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920</v>
      </c>
      <c r="C2" s="11"/>
      <c r="D2" s="10" t="str">
        <f>General!D5</f>
        <v>Ryne Swanbum</v>
      </c>
      <c r="E2" s="11"/>
      <c r="F2" s="10" t="str">
        <f>General!F6</f>
        <v>Mike Liska</v>
      </c>
      <c r="G2" s="11"/>
      <c r="H2" s="4"/>
      <c r="I2" s="13"/>
      <c r="L2" s="189"/>
    </row>
    <row r="3" spans="1:12" x14ac:dyDescent="0.25">
      <c r="A3" s="26"/>
      <c r="B3" s="148" t="s">
        <v>60</v>
      </c>
      <c r="C3" s="27"/>
      <c r="D3" s="28" t="s">
        <v>83</v>
      </c>
      <c r="E3" s="15"/>
      <c r="F3" s="29" t="s">
        <v>1017</v>
      </c>
      <c r="G3" s="27"/>
      <c r="H3" s="150" t="s">
        <v>61</v>
      </c>
      <c r="I3" s="30"/>
      <c r="J3" s="190" t="s">
        <v>937</v>
      </c>
    </row>
    <row r="4" spans="1:12" x14ac:dyDescent="0.25">
      <c r="A4" s="26"/>
      <c r="B4" s="148" t="s">
        <v>62</v>
      </c>
      <c r="C4" s="27"/>
      <c r="D4" s="28" t="s">
        <v>83</v>
      </c>
      <c r="E4" s="15"/>
      <c r="F4" s="29" t="s">
        <v>1017</v>
      </c>
      <c r="G4" s="27"/>
      <c r="H4" s="150" t="s">
        <v>923</v>
      </c>
      <c r="I4" s="30"/>
      <c r="J4" s="191">
        <v>9550</v>
      </c>
    </row>
    <row r="5" spans="1:12" x14ac:dyDescent="0.25">
      <c r="A5" s="26"/>
      <c r="B5" s="156" t="s">
        <v>921</v>
      </c>
      <c r="C5" s="27"/>
      <c r="D5" s="10"/>
      <c r="E5" s="11"/>
      <c r="F5" s="10"/>
      <c r="G5" s="11"/>
      <c r="H5" s="4"/>
      <c r="I5" s="30"/>
      <c r="J5" s="190" t="s">
        <v>725</v>
      </c>
    </row>
    <row r="6" spans="1:12" x14ac:dyDescent="0.25">
      <c r="A6" s="26"/>
      <c r="B6" s="157" t="s">
        <v>63</v>
      </c>
      <c r="C6" s="27"/>
      <c r="D6" s="28" t="s">
        <v>83</v>
      </c>
      <c r="E6" s="15"/>
      <c r="F6" s="29" t="s">
        <v>1017</v>
      </c>
      <c r="G6" s="27"/>
      <c r="H6" s="150" t="s">
        <v>64</v>
      </c>
      <c r="I6" s="30"/>
    </row>
    <row r="7" spans="1:12" x14ac:dyDescent="0.25">
      <c r="A7" s="26"/>
      <c r="B7" s="157" t="s">
        <v>736</v>
      </c>
      <c r="C7" s="27"/>
      <c r="D7" s="14" t="s">
        <v>83</v>
      </c>
      <c r="E7" s="15"/>
      <c r="F7" s="31" t="s">
        <v>1018</v>
      </c>
      <c r="G7" s="27"/>
      <c r="H7" s="150" t="b">
        <v>0</v>
      </c>
      <c r="I7" s="30"/>
    </row>
    <row r="8" spans="1:12" x14ac:dyDescent="0.25">
      <c r="A8" s="26"/>
      <c r="B8" s="156" t="s">
        <v>922</v>
      </c>
      <c r="C8" s="27"/>
      <c r="D8" s="10"/>
      <c r="E8" s="11"/>
      <c r="F8" s="10"/>
      <c r="G8" s="11"/>
      <c r="H8" s="4"/>
      <c r="I8" s="30"/>
    </row>
    <row r="9" spans="1:12" x14ac:dyDescent="0.25">
      <c r="A9" s="26"/>
      <c r="B9" s="158" t="s">
        <v>65</v>
      </c>
      <c r="C9" s="27"/>
      <c r="D9" s="14" t="s">
        <v>83</v>
      </c>
      <c r="E9" s="15"/>
      <c r="F9" s="31" t="s">
        <v>1017</v>
      </c>
      <c r="G9" s="27"/>
      <c r="H9" s="150" t="s">
        <v>66</v>
      </c>
      <c r="I9" s="30"/>
    </row>
    <row r="10" spans="1:12" x14ac:dyDescent="0.25">
      <c r="A10" s="8"/>
      <c r="B10" s="32"/>
      <c r="C10" s="11"/>
      <c r="D10" s="5"/>
      <c r="E10" s="11"/>
      <c r="F10" s="5"/>
      <c r="G10" s="11"/>
      <c r="H10" s="6"/>
      <c r="I10" s="13"/>
    </row>
    <row r="11" spans="1:12" x14ac:dyDescent="0.25">
      <c r="A11" s="8"/>
      <c r="B11" s="155" t="s">
        <v>919</v>
      </c>
      <c r="C11" s="11"/>
      <c r="D11" s="10"/>
      <c r="E11" s="11"/>
      <c r="F11" s="10"/>
      <c r="G11" s="11"/>
      <c r="H11" s="4"/>
      <c r="I11" s="13"/>
    </row>
    <row r="12" spans="1:12" x14ac:dyDescent="0.25">
      <c r="A12" s="26"/>
      <c r="B12" s="148" t="s">
        <v>60</v>
      </c>
      <c r="C12" s="27"/>
      <c r="D12" s="28" t="s">
        <v>725</v>
      </c>
      <c r="E12" s="15"/>
      <c r="F12" s="29" t="s">
        <v>1017</v>
      </c>
      <c r="G12" s="27"/>
      <c r="H12" s="150" t="s">
        <v>938</v>
      </c>
      <c r="I12" s="30"/>
    </row>
    <row r="13" spans="1:12" x14ac:dyDescent="0.25">
      <c r="A13" s="26"/>
      <c r="B13" s="148" t="s">
        <v>62</v>
      </c>
      <c r="C13" s="27"/>
      <c r="D13" s="14" t="s">
        <v>83</v>
      </c>
      <c r="E13" s="15"/>
      <c r="F13" s="31" t="s">
        <v>1017</v>
      </c>
      <c r="G13" s="27"/>
      <c r="H13" s="150" t="s">
        <v>923</v>
      </c>
      <c r="I13" s="30"/>
    </row>
    <row r="14" spans="1:12" x14ac:dyDescent="0.25">
      <c r="A14" s="26"/>
      <c r="B14" s="156" t="s">
        <v>921</v>
      </c>
      <c r="C14" s="27"/>
      <c r="D14" s="10"/>
      <c r="E14" s="11"/>
      <c r="F14" s="10"/>
      <c r="G14" s="11"/>
      <c r="H14" s="4"/>
      <c r="I14" s="30"/>
    </row>
    <row r="15" spans="1:12" x14ac:dyDescent="0.25">
      <c r="A15" s="26"/>
      <c r="B15" s="157" t="s">
        <v>63</v>
      </c>
      <c r="C15" s="27"/>
      <c r="D15" s="14" t="s">
        <v>83</v>
      </c>
      <c r="E15" s="15"/>
      <c r="F15" s="31" t="s">
        <v>1017</v>
      </c>
      <c r="G15" s="27"/>
      <c r="H15" s="150" t="s">
        <v>64</v>
      </c>
      <c r="I15" s="30"/>
    </row>
    <row r="16" spans="1:12" x14ac:dyDescent="0.25">
      <c r="A16" s="26"/>
      <c r="B16" s="157" t="s">
        <v>736</v>
      </c>
      <c r="C16" s="27"/>
      <c r="D16" s="14" t="s">
        <v>83</v>
      </c>
      <c r="E16" s="15"/>
      <c r="F16" s="31" t="s">
        <v>1017</v>
      </c>
      <c r="G16" s="27"/>
      <c r="H16" s="150" t="s">
        <v>924</v>
      </c>
      <c r="I16" s="30"/>
    </row>
    <row r="17" spans="1:9" x14ac:dyDescent="0.25">
      <c r="A17" s="26"/>
      <c r="B17" s="157" t="s">
        <v>1000</v>
      </c>
      <c r="C17" s="27"/>
      <c r="D17" s="14" t="s">
        <v>83</v>
      </c>
      <c r="E17" s="15"/>
      <c r="F17" s="31" t="s">
        <v>1017</v>
      </c>
      <c r="G17" s="27"/>
      <c r="H17" s="150" t="s">
        <v>1002</v>
      </c>
      <c r="I17" s="30"/>
    </row>
    <row r="18" spans="1:9" x14ac:dyDescent="0.25">
      <c r="A18" s="26"/>
      <c r="B18" s="156" t="s">
        <v>922</v>
      </c>
      <c r="C18" s="27"/>
      <c r="D18" s="10"/>
      <c r="E18" s="11"/>
      <c r="F18" s="10"/>
      <c r="G18" s="11"/>
      <c r="H18" s="4"/>
      <c r="I18" s="30"/>
    </row>
    <row r="19" spans="1:9" x14ac:dyDescent="0.25">
      <c r="A19" s="26"/>
      <c r="B19" s="157" t="s">
        <v>65</v>
      </c>
      <c r="C19" s="27"/>
      <c r="D19" s="14" t="s">
        <v>83</v>
      </c>
      <c r="E19" s="15"/>
      <c r="F19" s="31" t="s">
        <v>1017</v>
      </c>
      <c r="G19" s="27"/>
      <c r="H19" s="150" t="s">
        <v>67</v>
      </c>
      <c r="I19" s="30"/>
    </row>
    <row r="20" spans="1:9" x14ac:dyDescent="0.25">
      <c r="A20" s="26"/>
      <c r="B20" s="156" t="s">
        <v>970</v>
      </c>
      <c r="C20" s="27"/>
      <c r="D20" s="10"/>
      <c r="E20" s="11"/>
      <c r="F20" s="10"/>
      <c r="G20" s="11"/>
      <c r="H20" s="4"/>
      <c r="I20" s="30"/>
    </row>
    <row r="21" spans="1:9" x14ac:dyDescent="0.25">
      <c r="A21" s="26"/>
      <c r="B21" s="158" t="s">
        <v>971</v>
      </c>
      <c r="C21" s="27"/>
      <c r="D21" s="14" t="s">
        <v>83</v>
      </c>
      <c r="E21" s="15"/>
      <c r="F21" s="31" t="s">
        <v>1017</v>
      </c>
      <c r="G21" s="27"/>
      <c r="H21" s="150" t="s">
        <v>972</v>
      </c>
      <c r="I21" s="30"/>
    </row>
    <row r="22" spans="1:9" x14ac:dyDescent="0.25">
      <c r="A22" s="8"/>
      <c r="B22" s="32"/>
      <c r="C22" s="11"/>
      <c r="D22" s="5"/>
      <c r="E22" s="11"/>
      <c r="F22" s="5"/>
      <c r="G22" s="11"/>
      <c r="H22" s="6"/>
      <c r="I22" s="13"/>
    </row>
    <row r="23" spans="1:9" x14ac:dyDescent="0.25">
      <c r="A23" s="8"/>
      <c r="B23" s="155" t="s">
        <v>69</v>
      </c>
      <c r="C23" s="11"/>
      <c r="D23" s="10"/>
      <c r="E23" s="11"/>
      <c r="F23" s="10"/>
      <c r="G23" s="11"/>
      <c r="H23" s="4"/>
      <c r="I23" s="13"/>
    </row>
    <row r="24" spans="1:9" x14ac:dyDescent="0.25">
      <c r="A24" s="26"/>
      <c r="B24" s="148" t="s">
        <v>70</v>
      </c>
      <c r="C24" s="27"/>
      <c r="D24" s="28" t="s">
        <v>83</v>
      </c>
      <c r="E24" s="15"/>
      <c r="F24" s="29" t="s">
        <v>1017</v>
      </c>
      <c r="G24" s="27"/>
      <c r="H24" s="150" t="s">
        <v>71</v>
      </c>
      <c r="I24" s="30"/>
    </row>
    <row r="25" spans="1:9" x14ac:dyDescent="0.25">
      <c r="A25" s="26"/>
      <c r="B25" s="148" t="s">
        <v>996</v>
      </c>
      <c r="C25" s="27"/>
      <c r="D25" s="28" t="s">
        <v>83</v>
      </c>
      <c r="E25" s="15"/>
      <c r="F25" s="29" t="s">
        <v>1017</v>
      </c>
      <c r="G25" s="27"/>
      <c r="H25" s="150" t="s">
        <v>995</v>
      </c>
      <c r="I25" s="30"/>
    </row>
    <row r="26" spans="1:9" ht="30" hidden="1" x14ac:dyDescent="0.25">
      <c r="A26" s="26"/>
      <c r="B26" s="149" t="s">
        <v>934</v>
      </c>
      <c r="C26" s="27"/>
      <c r="D26" s="28"/>
      <c r="E26" s="15"/>
      <c r="F26" s="29"/>
      <c r="G26" s="27"/>
      <c r="H26" s="150" t="s">
        <v>935</v>
      </c>
      <c r="I26" s="30"/>
    </row>
    <row r="27" spans="1:9" hidden="1" x14ac:dyDescent="0.25">
      <c r="A27" s="8"/>
      <c r="B27" s="32"/>
      <c r="C27" s="11"/>
      <c r="D27" s="5"/>
      <c r="E27" s="11"/>
      <c r="F27" s="5"/>
      <c r="G27" s="11"/>
      <c r="H27" s="6"/>
      <c r="I27" s="13"/>
    </row>
    <row r="28" spans="1:9" hidden="1" x14ac:dyDescent="0.25">
      <c r="A28" s="8"/>
      <c r="B28" s="155" t="s">
        <v>931</v>
      </c>
      <c r="C28" s="11"/>
      <c r="D28" s="10"/>
      <c r="E28" s="11"/>
      <c r="F28" s="10"/>
      <c r="G28" s="11"/>
      <c r="H28" s="4"/>
      <c r="I28" s="13"/>
    </row>
    <row r="29" spans="1:9" hidden="1" x14ac:dyDescent="0.25">
      <c r="A29" s="26"/>
      <c r="B29" s="156" t="s">
        <v>9</v>
      </c>
      <c r="C29" s="27"/>
      <c r="D29" s="10"/>
      <c r="E29" s="11"/>
      <c r="F29" s="10"/>
      <c r="G29" s="11"/>
      <c r="H29" s="4"/>
      <c r="I29" s="30"/>
    </row>
    <row r="30" spans="1:9" hidden="1" x14ac:dyDescent="0.25">
      <c r="A30" s="26"/>
      <c r="B30" s="149" t="s">
        <v>68</v>
      </c>
      <c r="C30" s="27"/>
      <c r="D30" s="28"/>
      <c r="E30" s="15"/>
      <c r="F30" s="29"/>
      <c r="G30" s="27"/>
      <c r="H30" s="150" t="s">
        <v>716</v>
      </c>
      <c r="I30" s="30"/>
    </row>
    <row r="31" spans="1:9" hidden="1" x14ac:dyDescent="0.25">
      <c r="A31" s="8"/>
      <c r="B31" s="32"/>
      <c r="C31" s="11"/>
      <c r="D31" s="5"/>
      <c r="E31" s="11"/>
      <c r="F31" s="5"/>
      <c r="G31" s="11"/>
      <c r="H31" s="6"/>
      <c r="I31" s="13"/>
    </row>
    <row r="32" spans="1:9" hidden="1" x14ac:dyDescent="0.25">
      <c r="A32" s="8"/>
      <c r="B32" s="155" t="s">
        <v>933</v>
      </c>
      <c r="C32" s="11"/>
      <c r="D32" s="10"/>
      <c r="E32" s="11"/>
      <c r="F32" s="10"/>
      <c r="G32" s="11"/>
      <c r="H32" s="4"/>
      <c r="I32" s="13"/>
    </row>
    <row r="33" spans="1:11" hidden="1" x14ac:dyDescent="0.25">
      <c r="A33" s="26"/>
      <c r="B33" s="156" t="s">
        <v>925</v>
      </c>
      <c r="C33" s="27"/>
      <c r="D33" s="10"/>
      <c r="E33" s="11"/>
      <c r="F33" s="10"/>
      <c r="G33" s="11"/>
      <c r="H33" s="4"/>
      <c r="I33" s="30"/>
    </row>
    <row r="34" spans="1:11" hidden="1" x14ac:dyDescent="0.25">
      <c r="A34" s="26"/>
      <c r="B34" s="148" t="s">
        <v>928</v>
      </c>
      <c r="C34" s="27"/>
      <c r="D34" s="28"/>
      <c r="E34" s="15"/>
      <c r="F34" s="29"/>
      <c r="G34" s="27"/>
      <c r="H34" s="150" t="s">
        <v>930</v>
      </c>
      <c r="I34" s="30"/>
    </row>
    <row r="35" spans="1:11" hidden="1" x14ac:dyDescent="0.25">
      <c r="A35" s="26"/>
      <c r="B35" s="148" t="s">
        <v>611</v>
      </c>
      <c r="C35" s="27"/>
      <c r="D35" s="28"/>
      <c r="E35" s="15"/>
      <c r="F35" s="29"/>
      <c r="G35" s="27"/>
      <c r="H35" s="150">
        <v>2000</v>
      </c>
      <c r="I35" s="30"/>
    </row>
    <row r="36" spans="1:11" hidden="1" x14ac:dyDescent="0.25">
      <c r="A36" s="26"/>
      <c r="B36" s="148" t="s">
        <v>717</v>
      </c>
      <c r="C36" s="27"/>
      <c r="D36" s="28"/>
      <c r="E36" s="15"/>
      <c r="F36" s="29"/>
      <c r="G36" s="27"/>
      <c r="H36" s="150" t="s">
        <v>927</v>
      </c>
      <c r="I36" s="30"/>
    </row>
    <row r="37" spans="1:11" hidden="1" x14ac:dyDescent="0.25">
      <c r="A37" s="26"/>
      <c r="B37" s="156" t="s">
        <v>926</v>
      </c>
      <c r="C37" s="27"/>
      <c r="D37" s="10"/>
      <c r="E37" s="11"/>
      <c r="F37" s="10"/>
      <c r="G37" s="11"/>
      <c r="H37" s="4"/>
      <c r="I37" s="30"/>
    </row>
    <row r="38" spans="1:11" hidden="1" x14ac:dyDescent="0.25">
      <c r="A38" s="26"/>
      <c r="B38" s="148" t="s">
        <v>928</v>
      </c>
      <c r="C38" s="27"/>
      <c r="D38" s="28"/>
      <c r="E38" s="15"/>
      <c r="F38" s="29"/>
      <c r="G38" s="27"/>
      <c r="H38" s="150" t="s">
        <v>929</v>
      </c>
      <c r="I38" s="30"/>
    </row>
    <row r="39" spans="1:11" hidden="1" x14ac:dyDescent="0.25">
      <c r="A39" s="26"/>
      <c r="B39" s="148" t="s">
        <v>611</v>
      </c>
      <c r="C39" s="27"/>
      <c r="D39" s="28"/>
      <c r="E39" s="15"/>
      <c r="F39" s="29"/>
      <c r="G39" s="27"/>
      <c r="H39" s="150">
        <v>5000</v>
      </c>
      <c r="I39" s="30"/>
    </row>
    <row r="40" spans="1:11" hidden="1" x14ac:dyDescent="0.25">
      <c r="A40" s="26"/>
      <c r="B40" s="148" t="s">
        <v>717</v>
      </c>
      <c r="C40" s="27"/>
      <c r="D40" s="28"/>
      <c r="E40" s="15"/>
      <c r="F40" s="29"/>
      <c r="G40" s="27"/>
      <c r="H40" s="150" t="s">
        <v>645</v>
      </c>
      <c r="I40" s="30"/>
    </row>
    <row r="41" spans="1:11" hidden="1" x14ac:dyDescent="0.25">
      <c r="A41" s="8"/>
      <c r="B41" s="159" t="s">
        <v>939</v>
      </c>
      <c r="C41" s="11"/>
      <c r="D41" s="10"/>
      <c r="E41" s="11"/>
      <c r="F41" s="10"/>
      <c r="G41" s="11"/>
      <c r="H41" s="4"/>
      <c r="I41" s="13"/>
    </row>
    <row r="42" spans="1:11" hidden="1" x14ac:dyDescent="0.25">
      <c r="A42" s="26"/>
      <c r="B42" s="148" t="s">
        <v>723</v>
      </c>
      <c r="C42" s="27"/>
      <c r="D42" s="28"/>
      <c r="E42" s="15"/>
      <c r="F42" s="29"/>
      <c r="G42" s="27"/>
      <c r="H42" s="150" t="s">
        <v>724</v>
      </c>
      <c r="I42" s="30"/>
    </row>
    <row r="43" spans="1:11" hidden="1" x14ac:dyDescent="0.25">
      <c r="A43" s="8"/>
      <c r="B43" s="159" t="s">
        <v>945</v>
      </c>
      <c r="C43" s="11"/>
      <c r="D43" s="10"/>
      <c r="E43" s="11"/>
      <c r="F43" s="10"/>
      <c r="G43" s="11"/>
      <c r="H43" s="4"/>
      <c r="I43" s="13"/>
    </row>
    <row r="44" spans="1:11" x14ac:dyDescent="0.25">
      <c r="A44" s="26"/>
      <c r="B44" s="149" t="s">
        <v>943</v>
      </c>
      <c r="C44" s="27"/>
      <c r="D44" s="28" t="s">
        <v>31</v>
      </c>
      <c r="E44" s="15"/>
      <c r="F44" s="29" t="s">
        <v>1017</v>
      </c>
      <c r="G44" s="27"/>
      <c r="H44" s="150" t="s">
        <v>941</v>
      </c>
      <c r="I44" s="30"/>
      <c r="K44" s="1" t="s">
        <v>725</v>
      </c>
    </row>
    <row r="45" spans="1:11" x14ac:dyDescent="0.25">
      <c r="A45" s="8"/>
      <c r="B45" s="32"/>
      <c r="C45" s="11"/>
      <c r="D45" s="5"/>
      <c r="E45" s="11"/>
      <c r="F45" s="5"/>
      <c r="G45" s="11"/>
      <c r="H45" s="6"/>
      <c r="I45" s="13"/>
    </row>
    <row r="46" spans="1:11" x14ac:dyDescent="0.25">
      <c r="A46" s="8"/>
      <c r="B46" s="155" t="s">
        <v>932</v>
      </c>
      <c r="C46" s="11"/>
      <c r="D46" s="10"/>
      <c r="E46" s="11"/>
      <c r="F46" s="10"/>
      <c r="G46" s="11"/>
      <c r="H46" s="4"/>
      <c r="I46" s="13"/>
    </row>
    <row r="47" spans="1:11" x14ac:dyDescent="0.25">
      <c r="A47" s="26"/>
      <c r="B47" s="156" t="s">
        <v>9</v>
      </c>
      <c r="C47" s="27"/>
      <c r="D47" s="10"/>
      <c r="E47" s="11"/>
      <c r="F47" s="10"/>
      <c r="G47" s="11"/>
      <c r="H47" s="4"/>
      <c r="I47" s="30"/>
    </row>
    <row r="48" spans="1:11" x14ac:dyDescent="0.25">
      <c r="A48" s="26"/>
      <c r="B48" s="148" t="s">
        <v>68</v>
      </c>
      <c r="C48" s="27"/>
      <c r="D48" s="28" t="s">
        <v>83</v>
      </c>
      <c r="E48" s="15"/>
      <c r="F48" s="29" t="s">
        <v>1017</v>
      </c>
      <c r="G48" s="27"/>
      <c r="H48" s="150" t="s">
        <v>715</v>
      </c>
      <c r="I48" s="30"/>
    </row>
    <row r="49" spans="1:9" x14ac:dyDescent="0.25">
      <c r="A49" s="26"/>
      <c r="B49" s="157" t="s">
        <v>717</v>
      </c>
      <c r="C49" s="27"/>
      <c r="D49" s="28" t="s">
        <v>83</v>
      </c>
      <c r="E49" s="15"/>
      <c r="F49" s="29" t="s">
        <v>1017</v>
      </c>
      <c r="G49" s="27"/>
      <c r="H49" s="150" t="s">
        <v>718</v>
      </c>
      <c r="I49" s="30"/>
    </row>
    <row r="50" spans="1:9" x14ac:dyDescent="0.25">
      <c r="A50" s="26"/>
      <c r="B50" s="157" t="s">
        <v>719</v>
      </c>
      <c r="C50" s="27"/>
      <c r="D50" s="28" t="s">
        <v>83</v>
      </c>
      <c r="E50" s="15"/>
      <c r="F50" s="29" t="s">
        <v>1017</v>
      </c>
      <c r="G50" s="27"/>
      <c r="H50" s="150" t="s">
        <v>721</v>
      </c>
      <c r="I50" s="30"/>
    </row>
    <row r="51" spans="1:9" x14ac:dyDescent="0.25">
      <c r="A51" s="26"/>
      <c r="B51" s="157" t="s">
        <v>720</v>
      </c>
      <c r="C51" s="27"/>
      <c r="D51" s="28" t="s">
        <v>83</v>
      </c>
      <c r="E51" s="15"/>
      <c r="F51" s="29" t="s">
        <v>1017</v>
      </c>
      <c r="G51" s="27"/>
      <c r="H51" s="150" t="s">
        <v>722</v>
      </c>
      <c r="I51" s="30"/>
    </row>
    <row r="52" spans="1:9" x14ac:dyDescent="0.25">
      <c r="A52" s="8"/>
      <c r="B52" s="159" t="s">
        <v>940</v>
      </c>
      <c r="C52" s="11"/>
      <c r="D52" s="10"/>
      <c r="E52" s="11"/>
      <c r="F52" s="10"/>
      <c r="G52" s="11"/>
      <c r="H52" s="4"/>
      <c r="I52" s="13"/>
    </row>
    <row r="53" spans="1:9" x14ac:dyDescent="0.25">
      <c r="A53" s="26"/>
      <c r="B53" s="148" t="s">
        <v>723</v>
      </c>
      <c r="C53" s="27"/>
      <c r="D53" s="28" t="s">
        <v>83</v>
      </c>
      <c r="E53" s="15"/>
      <c r="F53" s="29" t="s">
        <v>1017</v>
      </c>
      <c r="G53" s="27"/>
      <c r="H53" s="150" t="s">
        <v>724</v>
      </c>
      <c r="I53" s="30"/>
    </row>
    <row r="54" spans="1:9" x14ac:dyDescent="0.25">
      <c r="A54" s="8"/>
      <c r="B54" s="159" t="s">
        <v>944</v>
      </c>
      <c r="C54" s="11"/>
      <c r="D54" s="10"/>
      <c r="E54" s="11"/>
      <c r="F54" s="10"/>
      <c r="G54" s="11"/>
      <c r="H54" s="4"/>
      <c r="I54" s="13"/>
    </row>
    <row r="55" spans="1:9" ht="30" x14ac:dyDescent="0.25">
      <c r="A55" s="26"/>
      <c r="B55" s="149" t="s">
        <v>943</v>
      </c>
      <c r="C55" s="27"/>
      <c r="D55" s="28" t="s">
        <v>83</v>
      </c>
      <c r="E55" s="15"/>
      <c r="F55" s="29" t="s">
        <v>1017</v>
      </c>
      <c r="G55" s="27"/>
      <c r="H55" s="150" t="s">
        <v>942</v>
      </c>
      <c r="I55" s="30"/>
    </row>
    <row r="56" spans="1:9" x14ac:dyDescent="0.25">
      <c r="A56" s="19"/>
      <c r="B56" s="33"/>
      <c r="C56" s="20"/>
      <c r="D56" s="34"/>
      <c r="E56" s="20"/>
      <c r="F56" s="34"/>
      <c r="G56" s="20"/>
      <c r="H56" s="35"/>
      <c r="I56"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heetViews>
  <sheetFormatPr defaultRowHeight="15" x14ac:dyDescent="0.25"/>
  <cols>
    <col min="1" max="1" width="2.7109375" customWidth="1"/>
    <col min="2" max="2" width="30.42578125" customWidth="1"/>
    <col min="3" max="3" width="2.7109375" customWidth="1"/>
    <col min="4" max="4" width="54.5703125" customWidth="1"/>
    <col min="5" max="5" width="2.7109375" customWidth="1"/>
    <col min="6" max="6" width="98.140625" bestFit="1" customWidth="1"/>
    <col min="7" max="7" width="2.7109375" customWidth="1"/>
  </cols>
  <sheetData>
    <row r="1" spans="1:7" x14ac:dyDescent="0.25">
      <c r="A1" s="2"/>
      <c r="B1" s="3"/>
      <c r="C1" s="3"/>
      <c r="D1" s="106" t="s">
        <v>44</v>
      </c>
      <c r="E1" s="3"/>
      <c r="F1" s="6" t="s">
        <v>46</v>
      </c>
      <c r="G1" s="7"/>
    </row>
    <row r="2" spans="1:7" x14ac:dyDescent="0.25">
      <c r="A2" s="8"/>
      <c r="B2" s="146" t="s">
        <v>856</v>
      </c>
      <c r="C2" s="11"/>
      <c r="D2" s="10" t="str">
        <f>General!D5</f>
        <v>Ryne Swanbum</v>
      </c>
      <c r="E2" s="11"/>
      <c r="F2" s="10"/>
      <c r="G2" s="13"/>
    </row>
    <row r="3" spans="1:7" ht="30" x14ac:dyDescent="0.25">
      <c r="A3" s="8"/>
      <c r="B3" s="162" t="s">
        <v>748</v>
      </c>
      <c r="C3" s="11"/>
      <c r="D3" s="28" t="s">
        <v>83</v>
      </c>
      <c r="E3" s="15"/>
      <c r="F3" s="177" t="s">
        <v>749</v>
      </c>
      <c r="G3" s="13"/>
    </row>
    <row r="4" spans="1:7" x14ac:dyDescent="0.25">
      <c r="A4" s="8"/>
      <c r="B4" s="169" t="s">
        <v>857</v>
      </c>
      <c r="C4" s="11"/>
      <c r="D4" s="15"/>
      <c r="E4" s="15"/>
      <c r="F4" s="37"/>
      <c r="G4" s="13"/>
    </row>
    <row r="5" spans="1:7" x14ac:dyDescent="0.25">
      <c r="A5" s="8"/>
      <c r="B5" s="162" t="s">
        <v>750</v>
      </c>
      <c r="C5" s="11"/>
      <c r="D5" s="28" t="s">
        <v>83</v>
      </c>
      <c r="E5" s="15"/>
      <c r="F5" s="178" t="s">
        <v>754</v>
      </c>
      <c r="G5" s="13"/>
    </row>
    <row r="6" spans="1:7" x14ac:dyDescent="0.25">
      <c r="A6" s="8"/>
      <c r="B6" s="162" t="s">
        <v>751</v>
      </c>
      <c r="C6" s="11"/>
      <c r="D6" s="28" t="s">
        <v>83</v>
      </c>
      <c r="E6" s="15"/>
      <c r="F6" s="178" t="s">
        <v>854</v>
      </c>
      <c r="G6" s="13"/>
    </row>
    <row r="7" spans="1:7" x14ac:dyDescent="0.25">
      <c r="A7" s="8"/>
      <c r="B7" s="162" t="s">
        <v>752</v>
      </c>
      <c r="C7" s="11"/>
      <c r="D7" s="28" t="s">
        <v>83</v>
      </c>
      <c r="E7" s="15"/>
      <c r="F7" s="178" t="s">
        <v>893</v>
      </c>
      <c r="G7" s="13"/>
    </row>
    <row r="8" spans="1:7" x14ac:dyDescent="0.25">
      <c r="A8" s="8"/>
      <c r="B8" s="162" t="s">
        <v>753</v>
      </c>
      <c r="C8" s="11"/>
      <c r="D8" s="28" t="s">
        <v>83</v>
      </c>
      <c r="E8" s="15"/>
      <c r="F8" s="178" t="s">
        <v>755</v>
      </c>
      <c r="G8" s="13"/>
    </row>
    <row r="9" spans="1:7" x14ac:dyDescent="0.25">
      <c r="A9" s="8"/>
      <c r="B9" s="169" t="s">
        <v>814</v>
      </c>
      <c r="C9" s="11"/>
      <c r="D9" s="15"/>
      <c r="E9" s="15"/>
      <c r="F9" s="15"/>
      <c r="G9" s="13"/>
    </row>
    <row r="10" spans="1:7" x14ac:dyDescent="0.25">
      <c r="A10" s="8"/>
      <c r="B10" s="151" t="s">
        <v>778</v>
      </c>
      <c r="C10" s="11"/>
      <c r="D10" s="28" t="s">
        <v>83</v>
      </c>
      <c r="E10" s="15"/>
      <c r="F10" s="153" t="s">
        <v>779</v>
      </c>
      <c r="G10" s="13"/>
    </row>
    <row r="11" spans="1:7" x14ac:dyDescent="0.25">
      <c r="A11" s="8"/>
      <c r="B11" s="151" t="s">
        <v>851</v>
      </c>
      <c r="C11" s="11"/>
      <c r="D11" s="28" t="s">
        <v>83</v>
      </c>
      <c r="E11" s="15"/>
      <c r="F11" s="178" t="s">
        <v>852</v>
      </c>
      <c r="G11" s="13"/>
    </row>
    <row r="12" spans="1:7" x14ac:dyDescent="0.25">
      <c r="A12" s="8"/>
      <c r="B12" s="169" t="s">
        <v>855</v>
      </c>
      <c r="C12" s="11"/>
      <c r="D12" s="15"/>
      <c r="E12" s="15"/>
      <c r="F12" s="37"/>
      <c r="G12" s="13"/>
    </row>
    <row r="13" spans="1:7" x14ac:dyDescent="0.25">
      <c r="A13" s="8"/>
      <c r="B13" s="151" t="s">
        <v>774</v>
      </c>
      <c r="C13" s="11"/>
      <c r="D13" s="28" t="s">
        <v>1016</v>
      </c>
      <c r="E13" s="15"/>
      <c r="F13" s="186" t="s">
        <v>912</v>
      </c>
      <c r="G13" s="13"/>
    </row>
    <row r="14" spans="1:7" x14ac:dyDescent="0.25">
      <c r="A14" s="8"/>
      <c r="B14" s="151" t="s">
        <v>772</v>
      </c>
      <c r="C14" s="11"/>
      <c r="D14" s="28">
        <v>105140</v>
      </c>
      <c r="E14" s="15"/>
      <c r="F14" s="37"/>
      <c r="G14" s="13"/>
    </row>
    <row r="15" spans="1:7" x14ac:dyDescent="0.25">
      <c r="A15" s="8"/>
      <c r="B15" s="151" t="s">
        <v>771</v>
      </c>
      <c r="C15" s="11"/>
      <c r="D15" s="28">
        <v>16063652</v>
      </c>
      <c r="E15" s="15"/>
      <c r="F15" s="37"/>
      <c r="G15" s="13"/>
    </row>
    <row r="16" spans="1:7" x14ac:dyDescent="0.25">
      <c r="A16" s="8"/>
      <c r="B16" s="151" t="s">
        <v>773</v>
      </c>
      <c r="C16" s="11"/>
      <c r="D16" s="28" t="s">
        <v>1014</v>
      </c>
      <c r="E16" s="15"/>
      <c r="F16" s="37"/>
      <c r="G16" s="13"/>
    </row>
    <row r="17" spans="1:9" x14ac:dyDescent="0.25">
      <c r="A17" s="8"/>
      <c r="B17" s="151" t="s">
        <v>770</v>
      </c>
      <c r="C17" s="11"/>
      <c r="D17" s="138">
        <v>43756</v>
      </c>
      <c r="E17" s="15"/>
      <c r="F17" s="177" t="s">
        <v>953</v>
      </c>
      <c r="G17" s="13"/>
    </row>
    <row r="18" spans="1:9" ht="45" x14ac:dyDescent="0.25">
      <c r="A18" s="8"/>
      <c r="B18" s="151" t="s">
        <v>769</v>
      </c>
      <c r="C18" s="11"/>
      <c r="D18" s="193" t="s">
        <v>1015</v>
      </c>
      <c r="E18" s="15"/>
      <c r="F18" s="37"/>
      <c r="G18" s="13"/>
    </row>
    <row r="19" spans="1:9" x14ac:dyDescent="0.25">
      <c r="A19" s="8"/>
      <c r="B19" s="169" t="s">
        <v>849</v>
      </c>
      <c r="C19" s="11"/>
      <c r="D19" s="109"/>
      <c r="E19" s="15"/>
      <c r="F19" s="37"/>
      <c r="G19" s="13"/>
    </row>
    <row r="20" spans="1:9" ht="30" x14ac:dyDescent="0.25">
      <c r="A20" s="8"/>
      <c r="B20" s="151" t="s">
        <v>759</v>
      </c>
      <c r="C20" s="11"/>
      <c r="D20" s="28" t="str">
        <f>CONCATENATE(Site," - NIA SCADA - Q4 - ", TEXT(DateT, "yyyy-mm-dd"))</f>
        <v>Tom's River - JC - NIA SCADA - Q4 - 2019-09-30</v>
      </c>
      <c r="E20" s="15"/>
      <c r="F20" s="177" t="s">
        <v>853</v>
      </c>
      <c r="G20" s="13"/>
    </row>
    <row r="21" spans="1:9" x14ac:dyDescent="0.25">
      <c r="A21" s="8"/>
      <c r="B21" s="151" t="s">
        <v>760</v>
      </c>
      <c r="C21" s="11"/>
      <c r="D21" s="109">
        <f>IF(DueDate&lt;&gt;"",DueDate-2,"")</f>
        <v>43754</v>
      </c>
      <c r="E21" s="15"/>
      <c r="F21" s="177" t="s">
        <v>894</v>
      </c>
      <c r="G21" s="13"/>
    </row>
    <row r="22" spans="1:9" x14ac:dyDescent="0.25">
      <c r="A22" s="8"/>
      <c r="B22" s="151" t="s">
        <v>761</v>
      </c>
      <c r="C22" s="11"/>
      <c r="D22" s="28"/>
      <c r="E22" s="15"/>
      <c r="F22" s="178" t="s">
        <v>762</v>
      </c>
      <c r="G22" s="13"/>
    </row>
    <row r="23" spans="1:9" x14ac:dyDescent="0.25">
      <c r="A23" s="8"/>
      <c r="B23" s="151" t="s">
        <v>763</v>
      </c>
      <c r="C23" s="11"/>
      <c r="D23" s="28"/>
      <c r="E23" s="15"/>
      <c r="F23" s="178" t="s">
        <v>764</v>
      </c>
      <c r="G23" s="13"/>
    </row>
    <row r="24" spans="1:9" x14ac:dyDescent="0.25">
      <c r="A24" s="8"/>
      <c r="B24" s="151" t="s">
        <v>955</v>
      </c>
      <c r="C24" s="11"/>
      <c r="D24" s="109">
        <f>IF(DueDate&lt;&gt;"",DueDate+14,"")</f>
        <v>43770</v>
      </c>
      <c r="E24" s="15"/>
      <c r="F24" s="178" t="s">
        <v>956</v>
      </c>
      <c r="G24" s="13"/>
    </row>
    <row r="25" spans="1:9" x14ac:dyDescent="0.25">
      <c r="A25" s="8"/>
      <c r="B25" s="169" t="s">
        <v>847</v>
      </c>
      <c r="C25" s="37"/>
      <c r="D25" s="37"/>
      <c r="E25" s="15"/>
      <c r="F25" s="37"/>
      <c r="G25" s="13"/>
    </row>
    <row r="26" spans="1:9" x14ac:dyDescent="0.25">
      <c r="A26" s="8"/>
      <c r="B26" s="151" t="s">
        <v>845</v>
      </c>
      <c r="C26" s="37"/>
      <c r="D26" s="28"/>
      <c r="E26" s="15"/>
      <c r="F26" s="37"/>
      <c r="G26" s="13"/>
    </row>
    <row r="27" spans="1:9" x14ac:dyDescent="0.25">
      <c r="A27" s="8"/>
      <c r="B27" s="151" t="s">
        <v>848</v>
      </c>
      <c r="C27" s="37"/>
      <c r="D27" s="28"/>
      <c r="E27" s="15"/>
      <c r="F27" s="37"/>
      <c r="G27" s="13"/>
    </row>
    <row r="28" spans="1:9" x14ac:dyDescent="0.25">
      <c r="A28" s="8"/>
      <c r="B28" s="152" t="s">
        <v>846</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 ref="D18" r:id="rId2" xr:uid="{6C8C7EDE-3957-486B-8A52-B0FA9362C0C5}"/>
  </hyperlinks>
  <pageMargins left="0.7" right="0.7" top="0.75" bottom="0.75" header="0.3" footer="0.3"/>
  <pageSetup paperSize="17"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pageSetUpPr fitToPage="1"/>
  </sheetPr>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28515625" customWidth="1"/>
    <col min="8" max="8" width="18" customWidth="1"/>
    <col min="9" max="10" width="10.7109375" customWidth="1"/>
    <col min="11" max="11" width="4.140625" customWidth="1"/>
    <col min="13" max="13" width="18.5703125" hidden="1" customWidth="1"/>
    <col min="14" max="14" width="13.28515625" hidden="1" customWidth="1"/>
  </cols>
  <sheetData>
    <row r="1" spans="1:14" ht="27" thickBot="1" x14ac:dyDescent="0.45">
      <c r="A1" s="258" t="s">
        <v>790</v>
      </c>
      <c r="B1" s="259"/>
      <c r="C1" s="259"/>
      <c r="D1" s="259"/>
      <c r="E1" s="259"/>
      <c r="F1" s="259"/>
      <c r="G1" s="259"/>
      <c r="H1" s="259"/>
      <c r="I1" s="259"/>
      <c r="J1" s="259"/>
      <c r="K1" s="260"/>
    </row>
    <row r="2" spans="1:14" ht="18.75" x14ac:dyDescent="0.3">
      <c r="A2" s="110"/>
      <c r="B2" s="261" t="s">
        <v>768</v>
      </c>
      <c r="C2" s="261"/>
      <c r="D2" s="262" t="s">
        <v>791</v>
      </c>
      <c r="E2" s="263"/>
      <c r="F2" s="263"/>
      <c r="G2" s="263"/>
      <c r="H2" s="263"/>
      <c r="I2" s="263"/>
      <c r="J2" s="264"/>
      <c r="K2" s="111"/>
      <c r="M2" t="s">
        <v>792</v>
      </c>
      <c r="N2" t="s">
        <v>793</v>
      </c>
    </row>
    <row r="3" spans="1:14" x14ac:dyDescent="0.25">
      <c r="A3" s="112"/>
      <c r="B3" s="248" t="s">
        <v>794</v>
      </c>
      <c r="C3" s="248"/>
      <c r="D3" s="265" t="s">
        <v>795</v>
      </c>
      <c r="E3" s="224"/>
      <c r="F3" s="224"/>
      <c r="G3" s="224"/>
      <c r="H3" s="224"/>
      <c r="I3" s="224"/>
      <c r="J3" s="266"/>
      <c r="K3" s="113"/>
      <c r="M3" t="s">
        <v>796</v>
      </c>
      <c r="N3" t="s">
        <v>797</v>
      </c>
    </row>
    <row r="4" spans="1:14" x14ac:dyDescent="0.25">
      <c r="A4" s="112"/>
      <c r="B4" s="248" t="s">
        <v>798</v>
      </c>
      <c r="C4" s="248"/>
      <c r="D4" s="256" t="s">
        <v>799</v>
      </c>
      <c r="E4" s="257"/>
      <c r="F4" s="233" t="s">
        <v>800</v>
      </c>
      <c r="G4" s="234"/>
      <c r="H4" s="114" t="s">
        <v>792</v>
      </c>
      <c r="I4" s="251" t="str">
        <f ca="1">INDEX(OFFSET(Contacts,,1),MATCH($H4,Contacts,0))</f>
        <v>(816) 448-7409</v>
      </c>
      <c r="J4" s="251"/>
      <c r="K4" s="113"/>
      <c r="M4" t="s">
        <v>889</v>
      </c>
      <c r="N4" t="s">
        <v>1005</v>
      </c>
    </row>
    <row r="5" spans="1:14" x14ac:dyDescent="0.25">
      <c r="A5" s="115"/>
      <c r="B5" s="248" t="s">
        <v>801</v>
      </c>
      <c r="C5" s="248"/>
      <c r="D5" s="249" t="s">
        <v>802</v>
      </c>
      <c r="E5" s="250"/>
      <c r="F5" s="233" t="s">
        <v>803</v>
      </c>
      <c r="G5" s="234"/>
      <c r="H5" s="116" t="s">
        <v>889</v>
      </c>
      <c r="I5" s="251" t="str">
        <f ca="1">INDEX(OFFSET(Contacts,,1),MATCH($H5,Contacts,0))</f>
        <v>(630) 272-4937</v>
      </c>
      <c r="J5" s="251"/>
      <c r="K5" s="113"/>
      <c r="M5" t="s">
        <v>804</v>
      </c>
      <c r="N5" t="s">
        <v>805</v>
      </c>
    </row>
    <row r="6" spans="1:14" x14ac:dyDescent="0.25">
      <c r="A6" s="115"/>
      <c r="B6" s="248" t="s">
        <v>806</v>
      </c>
      <c r="C6" s="248"/>
      <c r="D6" s="249" t="s">
        <v>807</v>
      </c>
      <c r="E6" s="250"/>
      <c r="F6" s="233" t="s">
        <v>808</v>
      </c>
      <c r="G6" s="234"/>
      <c r="H6" s="233"/>
      <c r="I6" s="252"/>
      <c r="J6" s="234"/>
      <c r="K6" s="113"/>
    </row>
    <row r="7" spans="1:14" ht="15.75" thickBot="1" x14ac:dyDescent="0.3">
      <c r="A7" s="115"/>
      <c r="B7" s="117"/>
      <c r="C7" s="117"/>
      <c r="D7" s="117"/>
      <c r="E7" s="118"/>
      <c r="F7" s="118"/>
      <c r="G7" s="118"/>
      <c r="H7" s="119"/>
      <c r="I7" s="120"/>
      <c r="J7" s="120"/>
      <c r="K7" s="113"/>
    </row>
    <row r="8" spans="1:14" ht="15.75" thickBot="1" x14ac:dyDescent="0.3">
      <c r="A8" s="115"/>
      <c r="B8" s="229" t="s">
        <v>809</v>
      </c>
      <c r="C8" s="230"/>
      <c r="D8" s="238" t="s">
        <v>810</v>
      </c>
      <c r="E8" s="239"/>
      <c r="F8" s="240"/>
      <c r="G8" s="120"/>
      <c r="H8" s="120"/>
      <c r="I8" s="120"/>
      <c r="J8" s="120"/>
      <c r="K8" s="113"/>
    </row>
    <row r="9" spans="1:14" ht="15.75" thickBot="1" x14ac:dyDescent="0.3">
      <c r="A9" s="115"/>
      <c r="B9" s="121"/>
      <c r="C9" s="253" t="s">
        <v>34</v>
      </c>
      <c r="D9" s="253"/>
      <c r="E9" s="254" t="s">
        <v>811</v>
      </c>
      <c r="F9" s="254"/>
      <c r="G9" s="253" t="s">
        <v>812</v>
      </c>
      <c r="H9" s="253"/>
      <c r="I9" s="253"/>
      <c r="J9" s="255"/>
      <c r="K9" s="113"/>
    </row>
    <row r="10" spans="1:14" x14ac:dyDescent="0.25">
      <c r="A10" s="115"/>
      <c r="B10" s="122" t="s">
        <v>813</v>
      </c>
      <c r="C10" s="245" t="s">
        <v>814</v>
      </c>
      <c r="D10" s="245"/>
      <c r="E10" s="246" t="s">
        <v>83</v>
      </c>
      <c r="F10" s="246"/>
      <c r="G10" s="246" t="s">
        <v>815</v>
      </c>
      <c r="H10" s="246"/>
      <c r="I10" s="246"/>
      <c r="J10" s="247"/>
      <c r="K10" s="113"/>
    </row>
    <row r="11" spans="1:14" x14ac:dyDescent="0.25">
      <c r="A11" s="115"/>
      <c r="B11" s="123" t="s">
        <v>756</v>
      </c>
      <c r="C11" s="232" t="s">
        <v>816</v>
      </c>
      <c r="D11" s="232"/>
      <c r="E11" s="218" t="s">
        <v>83</v>
      </c>
      <c r="F11" s="218"/>
      <c r="G11" s="215" t="s">
        <v>817</v>
      </c>
      <c r="H11" s="215"/>
      <c r="I11" s="215"/>
      <c r="J11" s="244"/>
      <c r="K11" s="113"/>
    </row>
    <row r="12" spans="1:14" x14ac:dyDescent="0.25">
      <c r="A12" s="115"/>
      <c r="B12" s="123" t="s">
        <v>818</v>
      </c>
      <c r="C12" s="232" t="s">
        <v>757</v>
      </c>
      <c r="D12" s="232"/>
      <c r="E12" s="218" t="s">
        <v>83</v>
      </c>
      <c r="F12" s="218"/>
      <c r="G12" s="215" t="s">
        <v>819</v>
      </c>
      <c r="H12" s="215"/>
      <c r="I12" s="215"/>
      <c r="J12" s="244"/>
      <c r="K12" s="113"/>
    </row>
    <row r="13" spans="1:14" x14ac:dyDescent="0.25">
      <c r="A13" s="115"/>
      <c r="B13" s="123" t="s">
        <v>820</v>
      </c>
      <c r="C13" s="232" t="s">
        <v>758</v>
      </c>
      <c r="D13" s="232"/>
      <c r="E13" s="218" t="s">
        <v>83</v>
      </c>
      <c r="F13" s="218"/>
      <c r="G13" s="215" t="s">
        <v>821</v>
      </c>
      <c r="H13" s="215"/>
      <c r="I13" s="215"/>
      <c r="J13" s="244"/>
      <c r="K13" s="113"/>
    </row>
    <row r="14" spans="1:14" x14ac:dyDescent="0.25">
      <c r="A14" s="115"/>
      <c r="B14" s="123" t="s">
        <v>446</v>
      </c>
      <c r="C14" s="232" t="s">
        <v>822</v>
      </c>
      <c r="D14" s="232"/>
      <c r="E14" s="218" t="s">
        <v>83</v>
      </c>
      <c r="F14" s="218"/>
      <c r="G14" s="215" t="s">
        <v>973</v>
      </c>
      <c r="H14" s="215"/>
      <c r="I14" s="215"/>
      <c r="J14" s="244"/>
      <c r="K14" s="113"/>
    </row>
    <row r="15" spans="1:14" ht="15.75" thickBot="1" x14ac:dyDescent="0.3">
      <c r="A15" s="115"/>
      <c r="B15" s="124" t="s">
        <v>823</v>
      </c>
      <c r="C15" s="236" t="s">
        <v>824</v>
      </c>
      <c r="D15" s="236"/>
      <c r="E15" s="212" t="s">
        <v>83</v>
      </c>
      <c r="F15" s="212"/>
      <c r="G15" s="209" t="s">
        <v>825</v>
      </c>
      <c r="H15" s="209"/>
      <c r="I15" s="209"/>
      <c r="J15" s="237"/>
      <c r="K15" s="113"/>
    </row>
    <row r="16" spans="1:14" ht="15.75" thickBot="1" x14ac:dyDescent="0.3">
      <c r="A16" s="115"/>
      <c r="B16" s="119"/>
      <c r="C16" s="119"/>
      <c r="D16" s="119"/>
      <c r="E16" s="120"/>
      <c r="F16" s="120"/>
      <c r="G16" s="120"/>
      <c r="H16" s="120"/>
      <c r="I16" s="120"/>
      <c r="J16" s="120"/>
      <c r="K16" s="113"/>
    </row>
    <row r="17" spans="1:11" ht="15.75" thickBot="1" x14ac:dyDescent="0.3">
      <c r="A17" s="115"/>
      <c r="B17" s="238" t="s">
        <v>826</v>
      </c>
      <c r="C17" s="239"/>
      <c r="D17" s="239"/>
      <c r="E17" s="239"/>
      <c r="F17" s="239"/>
      <c r="G17" s="239"/>
      <c r="H17" s="239"/>
      <c r="I17" s="239"/>
      <c r="J17" s="240"/>
      <c r="K17" s="113"/>
    </row>
    <row r="18" spans="1:11" x14ac:dyDescent="0.25">
      <c r="A18" s="115"/>
      <c r="B18" s="241" t="s">
        <v>827</v>
      </c>
      <c r="C18" s="242"/>
      <c r="D18" s="242"/>
      <c r="E18" s="242"/>
      <c r="F18" s="242"/>
      <c r="G18" s="242"/>
      <c r="H18" s="242"/>
      <c r="I18" s="242"/>
      <c r="J18" s="243"/>
      <c r="K18" s="113"/>
    </row>
    <row r="19" spans="1:11" x14ac:dyDescent="0.25">
      <c r="A19" s="115"/>
      <c r="B19" s="223" t="s">
        <v>828</v>
      </c>
      <c r="C19" s="224"/>
      <c r="D19" s="224"/>
      <c r="E19" s="224"/>
      <c r="F19" s="224"/>
      <c r="G19" s="224"/>
      <c r="H19" s="224"/>
      <c r="I19" s="224"/>
      <c r="J19" s="225"/>
      <c r="K19" s="113"/>
    </row>
    <row r="20" spans="1:11" x14ac:dyDescent="0.25">
      <c r="A20" s="115"/>
      <c r="B20" s="220"/>
      <c r="C20" s="221"/>
      <c r="D20" s="221"/>
      <c r="E20" s="221"/>
      <c r="F20" s="221"/>
      <c r="G20" s="221"/>
      <c r="H20" s="221"/>
      <c r="I20" s="221"/>
      <c r="J20" s="222"/>
      <c r="K20" s="113"/>
    </row>
    <row r="21" spans="1:11" x14ac:dyDescent="0.25">
      <c r="A21" s="115"/>
      <c r="B21" s="223" t="s">
        <v>829</v>
      </c>
      <c r="C21" s="224"/>
      <c r="D21" s="224"/>
      <c r="E21" s="224"/>
      <c r="F21" s="224"/>
      <c r="G21" s="224"/>
      <c r="H21" s="224"/>
      <c r="I21" s="224"/>
      <c r="J21" s="225"/>
      <c r="K21" s="113"/>
    </row>
    <row r="22" spans="1:11" x14ac:dyDescent="0.25">
      <c r="A22" s="115"/>
      <c r="B22" s="223" t="s">
        <v>830</v>
      </c>
      <c r="C22" s="224"/>
      <c r="D22" s="224"/>
      <c r="E22" s="224"/>
      <c r="F22" s="224"/>
      <c r="G22" s="224"/>
      <c r="H22" s="224"/>
      <c r="I22" s="224"/>
      <c r="J22" s="225"/>
      <c r="K22" s="113"/>
    </row>
    <row r="23" spans="1:11" x14ac:dyDescent="0.25">
      <c r="A23" s="115"/>
      <c r="B23" s="223" t="s">
        <v>831</v>
      </c>
      <c r="C23" s="224"/>
      <c r="D23" s="224"/>
      <c r="E23" s="224"/>
      <c r="F23" s="224"/>
      <c r="G23" s="224"/>
      <c r="H23" s="224"/>
      <c r="I23" s="224"/>
      <c r="J23" s="225"/>
      <c r="K23" s="113"/>
    </row>
    <row r="24" spans="1:11" x14ac:dyDescent="0.25">
      <c r="A24" s="115"/>
      <c r="B24" s="223" t="s">
        <v>832</v>
      </c>
      <c r="C24" s="224"/>
      <c r="D24" s="224"/>
      <c r="E24" s="224"/>
      <c r="F24" s="224"/>
      <c r="G24" s="224"/>
      <c r="H24" s="224"/>
      <c r="I24" s="224"/>
      <c r="J24" s="225"/>
      <c r="K24" s="113"/>
    </row>
    <row r="25" spans="1:11" x14ac:dyDescent="0.25">
      <c r="A25" s="115"/>
      <c r="B25" s="223" t="s">
        <v>833</v>
      </c>
      <c r="C25" s="224"/>
      <c r="D25" s="224"/>
      <c r="E25" s="224"/>
      <c r="F25" s="224"/>
      <c r="G25" s="224"/>
      <c r="H25" s="224"/>
      <c r="I25" s="224"/>
      <c r="J25" s="225"/>
      <c r="K25" s="113"/>
    </row>
    <row r="26" spans="1:11" x14ac:dyDescent="0.25">
      <c r="A26" s="115"/>
      <c r="B26" s="220"/>
      <c r="C26" s="221"/>
      <c r="D26" s="221"/>
      <c r="E26" s="221"/>
      <c r="F26" s="221"/>
      <c r="G26" s="221"/>
      <c r="H26" s="221"/>
      <c r="I26" s="221"/>
      <c r="J26" s="222"/>
      <c r="K26" s="113"/>
    </row>
    <row r="27" spans="1:11" x14ac:dyDescent="0.25">
      <c r="A27" s="115"/>
      <c r="B27" s="223" t="s">
        <v>834</v>
      </c>
      <c r="C27" s="224"/>
      <c r="D27" s="224"/>
      <c r="E27" s="224"/>
      <c r="F27" s="224"/>
      <c r="G27" s="224"/>
      <c r="H27" s="224"/>
      <c r="I27" s="224"/>
      <c r="J27" s="225"/>
      <c r="K27" s="113"/>
    </row>
    <row r="28" spans="1:11" ht="15.75" thickBot="1" x14ac:dyDescent="0.3">
      <c r="A28" s="115"/>
      <c r="B28" s="226" t="s">
        <v>835</v>
      </c>
      <c r="C28" s="227"/>
      <c r="D28" s="227"/>
      <c r="E28" s="227"/>
      <c r="F28" s="227"/>
      <c r="G28" s="227"/>
      <c r="H28" s="227"/>
      <c r="I28" s="227"/>
      <c r="J28" s="228"/>
      <c r="K28" s="113"/>
    </row>
    <row r="29" spans="1:11" ht="15.75" thickBot="1" x14ac:dyDescent="0.3">
      <c r="A29" s="115"/>
      <c r="B29" s="125"/>
      <c r="C29" s="125"/>
      <c r="D29" s="126"/>
      <c r="E29" s="127"/>
      <c r="F29" s="127"/>
      <c r="G29" s="127"/>
      <c r="H29" s="127"/>
      <c r="I29" s="127"/>
      <c r="J29" s="127"/>
      <c r="K29" s="113"/>
    </row>
    <row r="30" spans="1:11" x14ac:dyDescent="0.25">
      <c r="A30" s="115"/>
      <c r="B30" s="229" t="s">
        <v>836</v>
      </c>
      <c r="C30" s="230"/>
      <c r="D30" s="128"/>
      <c r="E30" s="129"/>
      <c r="F30" s="129"/>
      <c r="G30" s="129"/>
      <c r="H30" s="129"/>
      <c r="I30" s="129"/>
      <c r="J30" s="130"/>
      <c r="K30" s="113"/>
    </row>
    <row r="31" spans="1:11" x14ac:dyDescent="0.25">
      <c r="A31" s="115"/>
      <c r="B31" s="231" t="s">
        <v>837</v>
      </c>
      <c r="C31" s="232"/>
      <c r="D31" s="232"/>
      <c r="E31" s="232"/>
      <c r="F31" s="131" t="s">
        <v>838</v>
      </c>
      <c r="G31" s="233" t="s">
        <v>839</v>
      </c>
      <c r="H31" s="234"/>
      <c r="I31" s="232" t="s">
        <v>840</v>
      </c>
      <c r="J31" s="235"/>
      <c r="K31" s="113"/>
    </row>
    <row r="32" spans="1:11" x14ac:dyDescent="0.25">
      <c r="A32" s="115"/>
      <c r="B32" s="214" t="s">
        <v>841</v>
      </c>
      <c r="C32" s="215"/>
      <c r="D32" s="215"/>
      <c r="E32" s="215"/>
      <c r="F32" s="132" t="s">
        <v>83</v>
      </c>
      <c r="G32" s="216" t="s">
        <v>84</v>
      </c>
      <c r="H32" s="217"/>
      <c r="I32" s="218" t="s">
        <v>83</v>
      </c>
      <c r="J32" s="219"/>
      <c r="K32" s="113"/>
    </row>
    <row r="33" spans="1:11" x14ac:dyDescent="0.25">
      <c r="A33" s="115"/>
      <c r="B33" s="214" t="s">
        <v>842</v>
      </c>
      <c r="C33" s="215"/>
      <c r="D33" s="215"/>
      <c r="E33" s="215"/>
      <c r="F33" s="132" t="s">
        <v>84</v>
      </c>
      <c r="G33" s="216" t="s">
        <v>843</v>
      </c>
      <c r="H33" s="217"/>
      <c r="I33" s="218" t="s">
        <v>84</v>
      </c>
      <c r="J33" s="219"/>
      <c r="K33" s="113"/>
    </row>
    <row r="34" spans="1:11" ht="15.75" thickBot="1" x14ac:dyDescent="0.3">
      <c r="A34" s="115"/>
      <c r="B34" s="208" t="s">
        <v>844</v>
      </c>
      <c r="C34" s="209"/>
      <c r="D34" s="209"/>
      <c r="E34" s="209"/>
      <c r="F34" s="133" t="s">
        <v>84</v>
      </c>
      <c r="G34" s="210" t="s">
        <v>843</v>
      </c>
      <c r="H34" s="211"/>
      <c r="I34" s="212" t="s">
        <v>31</v>
      </c>
      <c r="J34" s="213"/>
      <c r="K34" s="113"/>
    </row>
    <row r="35" spans="1:11" ht="15.75" thickBot="1" x14ac:dyDescent="0.3">
      <c r="A35" s="134"/>
      <c r="B35" s="135"/>
      <c r="C35" s="135"/>
      <c r="D35" s="135"/>
      <c r="E35" s="136"/>
      <c r="F35" s="136"/>
      <c r="G35" s="136"/>
      <c r="H35" s="136"/>
      <c r="I35" s="136"/>
      <c r="J35" s="136"/>
      <c r="K35" s="137"/>
    </row>
  </sheetData>
  <mergeCells count="65">
    <mergeCell ref="B4:C4"/>
    <mergeCell ref="D4:E4"/>
    <mergeCell ref="F4:G4"/>
    <mergeCell ref="I4:J4"/>
    <mergeCell ref="A1:K1"/>
    <mergeCell ref="B2:C2"/>
    <mergeCell ref="D2:J2"/>
    <mergeCell ref="B3:C3"/>
    <mergeCell ref="D3:J3"/>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C11:D11"/>
    <mergeCell ref="E11:F11"/>
    <mergeCell ref="G11:J11"/>
    <mergeCell ref="C12:D12"/>
    <mergeCell ref="E12:F12"/>
    <mergeCell ref="G12:J12"/>
    <mergeCell ref="C13:D13"/>
    <mergeCell ref="E13:F13"/>
    <mergeCell ref="G13:J13"/>
    <mergeCell ref="C14:D14"/>
    <mergeCell ref="E14:F14"/>
    <mergeCell ref="G14:J14"/>
    <mergeCell ref="B25:J25"/>
    <mergeCell ref="C15:D15"/>
    <mergeCell ref="E15:F15"/>
    <mergeCell ref="G15:J15"/>
    <mergeCell ref="B17:J17"/>
    <mergeCell ref="B18:J18"/>
    <mergeCell ref="B19:J19"/>
    <mergeCell ref="B20:J20"/>
    <mergeCell ref="B21:J21"/>
    <mergeCell ref="B22:J22"/>
    <mergeCell ref="B23:J23"/>
    <mergeCell ref="B24:J24"/>
    <mergeCell ref="B26:J26"/>
    <mergeCell ref="B27:J27"/>
    <mergeCell ref="B28:J28"/>
    <mergeCell ref="B30:C30"/>
    <mergeCell ref="B31:E31"/>
    <mergeCell ref="G31:H31"/>
    <mergeCell ref="I31:J31"/>
    <mergeCell ref="B34:E34"/>
    <mergeCell ref="G34:H34"/>
    <mergeCell ref="I34:J34"/>
    <mergeCell ref="B32:E32"/>
    <mergeCell ref="G32:H32"/>
    <mergeCell ref="I32:J32"/>
    <mergeCell ref="B33:E33"/>
    <mergeCell ref="G33:H33"/>
    <mergeCell ref="I33:J3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pageSetup scale="94"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40" bestFit="1" customWidth="1"/>
    <col min="2" max="2" width="10.85546875" style="140" bestFit="1" customWidth="1"/>
    <col min="3" max="3" width="18.7109375" style="140" bestFit="1" customWidth="1"/>
    <col min="4" max="4" width="40.28515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285156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7109375" style="140" bestFit="1" customWidth="1"/>
    <col min="17" max="16384" width="8.85546875" style="140"/>
  </cols>
  <sheetData>
    <row r="1" spans="1:16" x14ac:dyDescent="0.2">
      <c r="A1" s="140" t="s">
        <v>439</v>
      </c>
      <c r="B1" s="141" t="s">
        <v>318</v>
      </c>
      <c r="C1" s="140" t="s">
        <v>319</v>
      </c>
      <c r="F1" s="141" t="s">
        <v>318</v>
      </c>
      <c r="G1" s="140" t="s">
        <v>320</v>
      </c>
      <c r="J1" s="141" t="s">
        <v>318</v>
      </c>
      <c r="K1" s="140" t="s">
        <v>321</v>
      </c>
      <c r="N1" s="141" t="s">
        <v>318</v>
      </c>
      <c r="O1" s="140" t="s">
        <v>322</v>
      </c>
    </row>
    <row r="2" spans="1:16" x14ac:dyDescent="0.2">
      <c r="A2" s="140" t="s">
        <v>440</v>
      </c>
      <c r="B2" s="142" t="s">
        <v>323</v>
      </c>
      <c r="C2" s="140" t="s">
        <v>165</v>
      </c>
      <c r="F2" s="142" t="s">
        <v>323</v>
      </c>
      <c r="G2" s="140" t="s">
        <v>165</v>
      </c>
      <c r="J2" s="142" t="s">
        <v>323</v>
      </c>
      <c r="K2" s="140" t="s">
        <v>442</v>
      </c>
      <c r="N2" s="142" t="s">
        <v>323</v>
      </c>
      <c r="O2" s="140" t="s">
        <v>165</v>
      </c>
    </row>
    <row r="3" spans="1:16" x14ac:dyDescent="0.2">
      <c r="A3" s="140" t="s">
        <v>441</v>
      </c>
    </row>
    <row r="4" spans="1:16" x14ac:dyDescent="0.2">
      <c r="A4" s="140" t="s">
        <v>442</v>
      </c>
      <c r="B4" s="143" t="s">
        <v>324</v>
      </c>
      <c r="C4" s="143" t="s">
        <v>325</v>
      </c>
      <c r="D4" s="143" t="s">
        <v>326</v>
      </c>
      <c r="F4" s="143" t="s">
        <v>324</v>
      </c>
      <c r="G4" s="143" t="s">
        <v>325</v>
      </c>
      <c r="H4" s="143" t="s">
        <v>326</v>
      </c>
      <c r="J4" s="143" t="s">
        <v>324</v>
      </c>
      <c r="K4" s="143" t="s">
        <v>325</v>
      </c>
      <c r="L4" s="143" t="s">
        <v>326</v>
      </c>
      <c r="N4" s="143" t="s">
        <v>324</v>
      </c>
      <c r="O4" s="143" t="s">
        <v>325</v>
      </c>
      <c r="P4" s="143" t="s">
        <v>326</v>
      </c>
    </row>
    <row r="5" spans="1:16" x14ac:dyDescent="0.2">
      <c r="A5" s="140" t="s">
        <v>165</v>
      </c>
      <c r="B5" s="140">
        <v>0</v>
      </c>
      <c r="C5" s="140" t="s">
        <v>327</v>
      </c>
      <c r="D5" s="144" t="str">
        <f t="shared" ref="D5:D35" si="0">CONCATENATE($C$1, ".", $C$2, "_", TEXT(B5, "00000"), "_",C5)</f>
        <v>SATEC_P18_Q14_IN_IV.AI_00000_KV_PH_A</v>
      </c>
      <c r="F5" s="140">
        <v>0</v>
      </c>
      <c r="G5" s="140" t="s">
        <v>328</v>
      </c>
      <c r="H5" s="144" t="str">
        <f t="shared" ref="H5:H25" si="1">CONCATENATE($G$1, ".", $G$2, "_", TEXT(F5, "00000"), "_",G5)</f>
        <v>Bitronics_P12_Q3_FOWLES_DNP.AI_00000_HEALTH_CHECK   </v>
      </c>
      <c r="J5" s="140">
        <v>0</v>
      </c>
      <c r="K5" s="140" t="s">
        <v>613</v>
      </c>
      <c r="L5" s="140" t="str">
        <f>CONCATENATE($K$1, ".", $K$2, "_", TEXT(J5, "00000"), "_",K5)</f>
        <v>Ion_P12_Q3_FOWLES_DNP.CNT_00000_MWH_Del_Comp</v>
      </c>
      <c r="N5" s="140">
        <v>0</v>
      </c>
      <c r="O5" s="140" t="s">
        <v>329</v>
      </c>
      <c r="P5" s="140" t="str">
        <f>CONCATENATE($O$1, ".", $O$2, "_", TEXT(N5, "00000"), "_",O5)</f>
        <v>DRMCC_RE97_27_DNP.AI_00000_HV_WINDING_TEMP</v>
      </c>
    </row>
    <row r="6" spans="1:16" x14ac:dyDescent="0.2">
      <c r="A6" s="140" t="s">
        <v>443</v>
      </c>
      <c r="B6" s="140">
        <v>1</v>
      </c>
      <c r="C6" s="140" t="s">
        <v>330</v>
      </c>
      <c r="D6" s="144" t="str">
        <f t="shared" si="0"/>
        <v>SATEC_P18_Q14_IN_IV.AI_00001_KV_PH_B</v>
      </c>
      <c r="F6" s="140">
        <v>1</v>
      </c>
      <c r="G6" s="140" t="s">
        <v>331</v>
      </c>
      <c r="H6" s="144" t="str">
        <f t="shared" si="1"/>
        <v>Bitronics_P12_Q3_FOWLES_DNP.AI_00001_AMPS_PH_A      </v>
      </c>
      <c r="J6" s="140">
        <v>1</v>
      </c>
      <c r="K6" s="140" t="s">
        <v>615</v>
      </c>
      <c r="L6" s="140" t="str">
        <f t="shared" ref="L6:L12" si="2">CONCATENATE($K$1, ".", $K$2, "_", TEXT(J6, "00000"), "_",K6)</f>
        <v>Ion_P12_Q3_FOWLES_DNP.CNT_00001_MVARH_Del_Comp</v>
      </c>
      <c r="N6" s="140">
        <v>1</v>
      </c>
      <c r="O6" s="140" t="s">
        <v>332</v>
      </c>
      <c r="P6" s="140" t="str">
        <f t="shared" ref="P6:P69" si="3">CONCATENATE($O$1, ".", $O$2, "_", TEXT(N6, "00000"), "_",O6)</f>
        <v>DRMCC_RE97_27_DNP.AI_00001_XV_WINDING_TEMP</v>
      </c>
    </row>
    <row r="7" spans="1:16" x14ac:dyDescent="0.2">
      <c r="B7" s="140">
        <v>2</v>
      </c>
      <c r="C7" s="140" t="s">
        <v>333</v>
      </c>
      <c r="D7" s="144" t="str">
        <f t="shared" si="0"/>
        <v>SATEC_P18_Q14_IN_IV.AI_00002_KV_PH_C</v>
      </c>
      <c r="F7" s="140">
        <v>2</v>
      </c>
      <c r="G7" s="140" t="s">
        <v>334</v>
      </c>
      <c r="H7" s="144" t="str">
        <f t="shared" si="1"/>
        <v>Bitronics_P12_Q3_FOWLES_DNP.AI_00002_AMPS_PH_B      </v>
      </c>
      <c r="J7" s="140">
        <v>2</v>
      </c>
      <c r="K7" s="140" t="s">
        <v>614</v>
      </c>
      <c r="L7" s="140" t="str">
        <f t="shared" si="2"/>
        <v>Ion_P12_Q3_FOWLES_DNP.CNT_00002_MWH_Rec_Comp</v>
      </c>
      <c r="N7" s="140">
        <v>2</v>
      </c>
      <c r="O7" s="140" t="s">
        <v>335</v>
      </c>
      <c r="P7" s="140" t="str">
        <f t="shared" si="3"/>
        <v>DRMCC_RE97_27_DNP.AI_00002_XV_LOAD_CURRENT</v>
      </c>
    </row>
    <row r="8" spans="1:16" x14ac:dyDescent="0.2">
      <c r="B8" s="140">
        <v>3</v>
      </c>
      <c r="C8" s="140" t="s">
        <v>336</v>
      </c>
      <c r="D8" s="144" t="str">
        <f t="shared" si="0"/>
        <v>SATEC_P18_Q14_IN_IV.AI_00003_AMPS_PH_A</v>
      </c>
      <c r="F8" s="140">
        <v>3</v>
      </c>
      <c r="G8" s="140" t="s">
        <v>337</v>
      </c>
      <c r="H8" s="144" t="str">
        <f t="shared" si="1"/>
        <v>Bitronics_P12_Q3_FOWLES_DNP.AI_00003_AMPS_PH_C      </v>
      </c>
      <c r="J8" s="140">
        <v>3</v>
      </c>
      <c r="K8" s="140" t="s">
        <v>616</v>
      </c>
      <c r="L8" s="140" t="str">
        <f t="shared" si="2"/>
        <v>Ion_P12_Q3_FOWLES_DNP.CNT_00003_MVARH_Rec_Comp</v>
      </c>
      <c r="N8" s="140">
        <v>3</v>
      </c>
      <c r="O8" s="140" t="s">
        <v>338</v>
      </c>
      <c r="P8" s="140" t="str">
        <f t="shared" si="3"/>
        <v>DRMCC_RE97_27_DNP.AI_00003_GROUP_A_FAN_AMPS</v>
      </c>
    </row>
    <row r="9" spans="1:16" x14ac:dyDescent="0.2">
      <c r="B9" s="140">
        <v>4</v>
      </c>
      <c r="C9" s="140" t="s">
        <v>339</v>
      </c>
      <c r="D9" s="144" t="str">
        <f t="shared" si="0"/>
        <v>SATEC_P18_Q14_IN_IV.AI_00004_AMPS_PH_B</v>
      </c>
      <c r="F9" s="140">
        <v>4</v>
      </c>
      <c r="G9" s="140" t="s">
        <v>340</v>
      </c>
      <c r="H9" s="144" t="str">
        <f t="shared" si="1"/>
        <v>Bitronics_P12_Q3_FOWLES_DNP.AI_00004_VOLTS_PH_A     </v>
      </c>
      <c r="J9" s="140">
        <v>4</v>
      </c>
      <c r="K9" s="140" t="s">
        <v>617</v>
      </c>
      <c r="L9" s="140" t="str">
        <f t="shared" si="2"/>
        <v>Ion_P12_Q3_FOWLES_DNP.CNT_00004_MWH_Del_UC</v>
      </c>
      <c r="N9" s="140">
        <v>4</v>
      </c>
      <c r="O9" s="140" t="s">
        <v>341</v>
      </c>
      <c r="P9" s="140" t="str">
        <f t="shared" si="3"/>
        <v>DRMCC_RE97_27_DNP.AI_00004_GROUP_B_FAN_AMPS</v>
      </c>
    </row>
    <row r="10" spans="1:16" x14ac:dyDescent="0.2">
      <c r="B10" s="140">
        <v>5</v>
      </c>
      <c r="C10" s="140" t="s">
        <v>342</v>
      </c>
      <c r="D10" s="144" t="str">
        <f t="shared" si="0"/>
        <v>SATEC_P18_Q14_IN_IV.AI_00005_AMPS_PH_C</v>
      </c>
      <c r="F10" s="140">
        <v>5</v>
      </c>
      <c r="G10" s="140" t="s">
        <v>343</v>
      </c>
      <c r="H10" s="144" t="str">
        <f t="shared" si="1"/>
        <v>Bitronics_P12_Q3_FOWLES_DNP.AI_00005_VOLTS_PH_B     </v>
      </c>
      <c r="J10" s="140">
        <v>5</v>
      </c>
      <c r="K10" s="140" t="s">
        <v>618</v>
      </c>
      <c r="L10" s="140" t="str">
        <f t="shared" si="2"/>
        <v>Ion_P12_Q3_FOWLES_DNP.CNT_00005_MVARH_Del_UC</v>
      </c>
      <c r="N10" s="140">
        <v>5</v>
      </c>
      <c r="O10" s="140" t="s">
        <v>344</v>
      </c>
      <c r="P10" s="140" t="str">
        <f t="shared" si="3"/>
        <v>DRMCC_RE97_27_DNP.AI_00005_AMBIENT_TEMPERATURE</v>
      </c>
    </row>
    <row r="11" spans="1:16" x14ac:dyDescent="0.2">
      <c r="B11" s="140">
        <v>6</v>
      </c>
      <c r="C11" s="140" t="s">
        <v>345</v>
      </c>
      <c r="D11" s="144" t="str">
        <f t="shared" si="0"/>
        <v>SATEC_P18_Q14_IN_IV.AI_00006_KW_PH_A</v>
      </c>
      <c r="F11" s="140">
        <v>6</v>
      </c>
      <c r="G11" s="140" t="s">
        <v>346</v>
      </c>
      <c r="H11" s="144" t="str">
        <f t="shared" si="1"/>
        <v>Bitronics_P12_Q3_FOWLES_DNP.AI_00006_VOLTS_PH_C     </v>
      </c>
      <c r="J11" s="140">
        <v>6</v>
      </c>
      <c r="K11" s="140" t="s">
        <v>619</v>
      </c>
      <c r="L11" s="140" t="str">
        <f t="shared" si="2"/>
        <v>Ion_P12_Q3_FOWLES_DNP.CNT_00006_MWH_REC_UC</v>
      </c>
      <c r="N11" s="140">
        <v>6</v>
      </c>
      <c r="O11" s="140" t="s">
        <v>347</v>
      </c>
      <c r="P11" s="140" t="str">
        <f t="shared" si="3"/>
        <v>DRMCC_RE97_27_DNP.AI_00006_TOP_OIL_TEMPERATURE</v>
      </c>
    </row>
    <row r="12" spans="1:16" x14ac:dyDescent="0.2">
      <c r="B12" s="140">
        <v>7</v>
      </c>
      <c r="C12" s="140" t="s">
        <v>348</v>
      </c>
      <c r="D12" s="144" t="str">
        <f t="shared" si="0"/>
        <v>SATEC_P18_Q14_IN_IV.AI_00007_KW_PH_B</v>
      </c>
      <c r="F12" s="140">
        <v>7</v>
      </c>
      <c r="G12" s="140" t="s">
        <v>349</v>
      </c>
      <c r="H12" s="144" t="str">
        <f t="shared" si="1"/>
        <v>Bitronics_P12_Q3_FOWLES_DNP.AI_00007_3PH_MW </v>
      </c>
      <c r="J12" s="140">
        <v>7</v>
      </c>
      <c r="K12" s="140" t="s">
        <v>620</v>
      </c>
      <c r="L12" s="140" t="str">
        <f t="shared" si="2"/>
        <v>Ion_P12_Q3_FOWLES_DNP.CNT_00007_MVARH_REC_UC</v>
      </c>
      <c r="N12" s="140">
        <v>7</v>
      </c>
      <c r="O12" s="140" t="s">
        <v>350</v>
      </c>
      <c r="P12" s="140" t="str">
        <f t="shared" si="3"/>
        <v>DRMCC_RE97_27_DNP.AI_00007_INCON_TAP_POSITION_SENSOR</v>
      </c>
    </row>
    <row r="13" spans="1:16" x14ac:dyDescent="0.2">
      <c r="B13" s="140">
        <v>8</v>
      </c>
      <c r="C13" s="140" t="s">
        <v>351</v>
      </c>
      <c r="D13" s="144" t="str">
        <f t="shared" si="0"/>
        <v>SATEC_P18_Q14_IN_IV.AI_00008_KW_PH_C</v>
      </c>
      <c r="F13" s="140">
        <v>8</v>
      </c>
      <c r="G13" s="140" t="s">
        <v>352</v>
      </c>
      <c r="H13" s="144" t="str">
        <f t="shared" si="1"/>
        <v>Bitronics_P12_Q3_FOWLES_DNP.AI_00008_3PH_MX </v>
      </c>
      <c r="N13" s="140">
        <v>8</v>
      </c>
      <c r="O13" s="140" t="s">
        <v>353</v>
      </c>
      <c r="P13" s="140" t="str">
        <f t="shared" si="3"/>
        <v>DRMCC_RE97_27_DNP.AI_00008_HV_LOAD_CURRENT</v>
      </c>
    </row>
    <row r="14" spans="1:16" x14ac:dyDescent="0.2">
      <c r="B14" s="140">
        <v>9</v>
      </c>
      <c r="C14" s="140" t="s">
        <v>354</v>
      </c>
      <c r="D14" s="144" t="str">
        <f t="shared" si="0"/>
        <v>SATEC_P18_Q14_IN_IV.AI_00009_KVAR_PH_A</v>
      </c>
      <c r="F14" s="140">
        <v>9</v>
      </c>
      <c r="G14" s="140" t="s">
        <v>355</v>
      </c>
      <c r="H14" s="144" t="str">
        <f t="shared" si="1"/>
        <v>Bitronics_P12_Q3_FOWLES_DNP.AI_00009_WATTS_PH_A     </v>
      </c>
      <c r="N14" s="140">
        <v>9</v>
      </c>
      <c r="O14" s="140" t="s">
        <v>356</v>
      </c>
      <c r="P14" s="140" t="str">
        <f t="shared" si="3"/>
        <v>DRMCC_RE97_27_DNP.AI_00009_LTC_OIL_TEMPERATURE</v>
      </c>
    </row>
    <row r="15" spans="1:16" x14ac:dyDescent="0.2">
      <c r="B15" s="140">
        <v>10</v>
      </c>
      <c r="C15" s="140" t="s">
        <v>357</v>
      </c>
      <c r="D15" s="144" t="str">
        <f t="shared" si="0"/>
        <v>SATEC_P18_Q14_IN_IV.AI_00010_KVAR_PH_B</v>
      </c>
      <c r="F15" s="140">
        <v>10</v>
      </c>
      <c r="G15" s="140" t="s">
        <v>358</v>
      </c>
      <c r="H15" s="144" t="str">
        <f t="shared" si="1"/>
        <v>Bitronics_P12_Q3_FOWLES_DNP.AI_00010_WATTS_PH_B     </v>
      </c>
      <c r="N15" s="140">
        <v>10</v>
      </c>
      <c r="O15" s="140" t="s">
        <v>359</v>
      </c>
      <c r="P15" s="140" t="str">
        <f t="shared" si="3"/>
        <v>DRMCC_RE97_27_DNP.AI_00010_BOTTOM_OIL_TEMP</v>
      </c>
    </row>
    <row r="16" spans="1:16" x14ac:dyDescent="0.2">
      <c r="B16" s="140">
        <v>11</v>
      </c>
      <c r="C16" s="140" t="s">
        <v>360</v>
      </c>
      <c r="D16" s="144" t="str">
        <f t="shared" si="0"/>
        <v>SATEC_P18_Q14_IN_IV.AI_00011_KVAR_PH_C</v>
      </c>
      <c r="F16" s="140">
        <v>11</v>
      </c>
      <c r="G16" s="140" t="s">
        <v>361</v>
      </c>
      <c r="H16" s="144" t="str">
        <f t="shared" si="1"/>
        <v>Bitronics_P12_Q3_FOWLES_DNP.AI_00011_WATTS_PH_C     </v>
      </c>
      <c r="J16" s="142" t="s">
        <v>323</v>
      </c>
      <c r="K16" s="140" t="s">
        <v>165</v>
      </c>
      <c r="N16" s="140">
        <v>11</v>
      </c>
      <c r="O16" s="140" t="s">
        <v>362</v>
      </c>
      <c r="P16" s="140" t="str">
        <f t="shared" si="3"/>
        <v>DRMCC_RE97_27_DNP.AI_00011_MAIN_TANK_TEMP</v>
      </c>
    </row>
    <row r="17" spans="2:16" x14ac:dyDescent="0.2">
      <c r="B17" s="140">
        <v>12</v>
      </c>
      <c r="C17" s="140" t="s">
        <v>363</v>
      </c>
      <c r="D17" s="144" t="str">
        <f t="shared" si="0"/>
        <v>SATEC_P18_Q14_IN_IV.AI_00012_KVA_PH_A</v>
      </c>
      <c r="F17" s="140">
        <v>12</v>
      </c>
      <c r="G17" s="140" t="s">
        <v>364</v>
      </c>
      <c r="H17" s="144" t="str">
        <f t="shared" si="1"/>
        <v>Bitronics_P12_Q3_FOWLES_DNP.AI_00012_VARS_PH_A      </v>
      </c>
      <c r="J17" s="143" t="s">
        <v>324</v>
      </c>
      <c r="K17" s="143" t="s">
        <v>325</v>
      </c>
      <c r="L17" s="143" t="s">
        <v>326</v>
      </c>
      <c r="N17" s="140">
        <v>12</v>
      </c>
      <c r="O17" s="140" t="s">
        <v>365</v>
      </c>
      <c r="P17" s="140" t="str">
        <f t="shared" si="3"/>
        <v>DRMCC_RE97_27_DNP.AI_00012_LTC_DIFF_TEMPERATURE</v>
      </c>
    </row>
    <row r="18" spans="2:16" x14ac:dyDescent="0.2">
      <c r="B18" s="140">
        <v>13</v>
      </c>
      <c r="C18" s="140" t="s">
        <v>366</v>
      </c>
      <c r="D18" s="144" t="str">
        <f t="shared" si="0"/>
        <v>SATEC_P18_Q14_IN_IV.AI_00013_KVA_PH_B</v>
      </c>
      <c r="F18" s="140">
        <v>13</v>
      </c>
      <c r="G18" s="140" t="s">
        <v>367</v>
      </c>
      <c r="H18" s="144" t="str">
        <f t="shared" si="1"/>
        <v>Bitronics_P12_Q3_FOWLES_DNP.AI_00013_VARS_PH_B      </v>
      </c>
      <c r="J18" s="140">
        <v>0</v>
      </c>
      <c r="K18" s="140" t="s">
        <v>599</v>
      </c>
      <c r="L18" s="140" t="str">
        <f>CONCATENATE($K$1, ".", $K$16, "_", TEXT(J18, "00000"), "_",K18)</f>
        <v>Ion_P12_Q3_FOWLES_DNP.AI_00000_Ph_A_Amps</v>
      </c>
      <c r="N18" s="140">
        <v>13</v>
      </c>
      <c r="O18" s="140" t="s">
        <v>368</v>
      </c>
      <c r="P18" s="140" t="str">
        <f t="shared" si="3"/>
        <v>DRMCC_RE97_27_DNP.AI_00013_TAP_POSITION</v>
      </c>
    </row>
    <row r="19" spans="2:16" x14ac:dyDescent="0.2">
      <c r="B19" s="140">
        <v>14</v>
      </c>
      <c r="C19" s="140" t="s">
        <v>369</v>
      </c>
      <c r="D19" s="144" t="str">
        <f t="shared" si="0"/>
        <v>SATEC_P18_Q14_IN_IV.AI_00014_KVA_PH_C</v>
      </c>
      <c r="F19" s="140">
        <v>14</v>
      </c>
      <c r="G19" s="140" t="s">
        <v>370</v>
      </c>
      <c r="H19" s="144" t="str">
        <f t="shared" si="1"/>
        <v>Bitronics_P12_Q3_FOWLES_DNP.AI_00014_VARS_PH_C      </v>
      </c>
      <c r="J19" s="140">
        <v>1</v>
      </c>
      <c r="K19" s="140" t="s">
        <v>600</v>
      </c>
      <c r="L19" s="140" t="str">
        <f t="shared" ref="L19:L31" si="4">CONCATENATE($K$1, ".", $K$16, "_", TEXT(J19, "00000"), "_",K19)</f>
        <v>Ion_P12_Q3_FOWLES_DNP.AI_00001_Ph_B_Amps</v>
      </c>
      <c r="N19" s="140">
        <v>14</v>
      </c>
      <c r="O19" s="140" t="s">
        <v>371</v>
      </c>
      <c r="P19" s="140" t="str">
        <f t="shared" si="3"/>
        <v>DRMCC_RE97_27_DNP.AI_00014_LAST_SAVE_H2_CONCENTRATION</v>
      </c>
    </row>
    <row r="20" spans="2:16" x14ac:dyDescent="0.2">
      <c r="B20" s="140">
        <v>15</v>
      </c>
      <c r="C20" s="140" t="s">
        <v>372</v>
      </c>
      <c r="D20" s="144" t="str">
        <f t="shared" si="0"/>
        <v>SATEC_P18_Q14_IN_IV.AI_00015_PF_PH_A</v>
      </c>
      <c r="F20" s="140">
        <v>15</v>
      </c>
      <c r="G20" s="140" t="s">
        <v>373</v>
      </c>
      <c r="H20" s="144" t="str">
        <f t="shared" si="1"/>
        <v>Bitronics_P12_Q3_FOWLES_DNP.AI_00015_CT_VALUE       </v>
      </c>
      <c r="J20" s="140">
        <v>2</v>
      </c>
      <c r="K20" s="140" t="s">
        <v>601</v>
      </c>
      <c r="L20" s="140" t="str">
        <f t="shared" si="4"/>
        <v>Ion_P12_Q3_FOWLES_DNP.AI_00002_Ph_C_Amps</v>
      </c>
      <c r="N20" s="140">
        <v>15</v>
      </c>
      <c r="O20" s="140" t="s">
        <v>374</v>
      </c>
      <c r="P20" s="140" t="str">
        <f t="shared" si="3"/>
        <v>DRMCC_RE97_27_DNP.AI_00015_ACTUAL_CONTINUOUS_HYDROGEN_READING</v>
      </c>
    </row>
    <row r="21" spans="2:16" x14ac:dyDescent="0.2">
      <c r="B21" s="140">
        <v>16</v>
      </c>
      <c r="C21" s="140" t="s">
        <v>375</v>
      </c>
      <c r="D21" s="144" t="str">
        <f t="shared" si="0"/>
        <v>SATEC_P18_Q14_IN_IV.AI_00016_PF_PH_B</v>
      </c>
      <c r="F21" s="140">
        <v>16</v>
      </c>
      <c r="G21" s="140" t="s">
        <v>376</v>
      </c>
      <c r="H21" s="144" t="str">
        <f t="shared" si="1"/>
        <v>Bitronics_P12_Q3_FOWLES_DNP.AI_00016_CT_DIVISOR     </v>
      </c>
      <c r="J21" s="140">
        <v>3</v>
      </c>
      <c r="K21" s="140" t="s">
        <v>602</v>
      </c>
      <c r="L21" s="140" t="str">
        <f t="shared" si="4"/>
        <v>Ion_P12_Q3_FOWLES_DNP.AI_00003_Avg_Amps</v>
      </c>
      <c r="N21" s="140">
        <v>16</v>
      </c>
      <c r="O21" s="140" t="s">
        <v>377</v>
      </c>
      <c r="P21" s="140" t="str">
        <f t="shared" si="3"/>
        <v>DRMCC_RE97_27_DNP.AI_00016_ACTUAL_CALCULATED_WATER_SATURATION</v>
      </c>
    </row>
    <row r="22" spans="2:16" x14ac:dyDescent="0.2">
      <c r="B22" s="140">
        <v>17</v>
      </c>
      <c r="C22" s="140" t="s">
        <v>378</v>
      </c>
      <c r="D22" s="144" t="str">
        <f t="shared" si="0"/>
        <v>SATEC_P18_Q14_IN_IV.AI_00017_PF_PH_C</v>
      </c>
      <c r="F22" s="140">
        <v>17</v>
      </c>
      <c r="G22" s="140" t="s">
        <v>379</v>
      </c>
      <c r="H22" s="144" t="str">
        <f t="shared" si="1"/>
        <v>Bitronics_P12_Q3_FOWLES_DNP.AI_00017_PT_VALUE       </v>
      </c>
      <c r="J22" s="140">
        <v>4</v>
      </c>
      <c r="K22" s="140" t="s">
        <v>603</v>
      </c>
      <c r="L22" s="140" t="str">
        <f t="shared" si="4"/>
        <v>Ion_P12_Q3_FOWLES_DNP.AI_00004_Ph_A_kV</v>
      </c>
      <c r="N22" s="140">
        <v>17</v>
      </c>
      <c r="O22" s="140" t="s">
        <v>380</v>
      </c>
      <c r="P22" s="140" t="str">
        <f t="shared" si="3"/>
        <v>DRMCC_RE97_27_DNP.AI_00017_ACTUAL_CALCULATED_WATER_CONCENTRATION_PPM</v>
      </c>
    </row>
    <row r="23" spans="2:16" x14ac:dyDescent="0.2">
      <c r="B23" s="140">
        <v>18</v>
      </c>
      <c r="C23" s="140" t="s">
        <v>381</v>
      </c>
      <c r="D23" s="144" t="str">
        <f t="shared" si="0"/>
        <v>SATEC_P18_Q14_IN_IV.AI_00018_TOTAL_PF</v>
      </c>
      <c r="F23" s="140">
        <v>18</v>
      </c>
      <c r="G23" s="140" t="s">
        <v>382</v>
      </c>
      <c r="H23" s="144" t="str">
        <f t="shared" si="1"/>
        <v>Bitronics_P12_Q3_FOWLES_DNP.AI_00018_PT_DIVISOR     </v>
      </c>
      <c r="J23" s="140">
        <v>5</v>
      </c>
      <c r="K23" s="140" t="s">
        <v>604</v>
      </c>
      <c r="L23" s="140" t="str">
        <f t="shared" si="4"/>
        <v>Ion_P12_Q3_FOWLES_DNP.AI_00005_Ph_B_kV</v>
      </c>
      <c r="N23" s="140">
        <v>18</v>
      </c>
      <c r="O23" s="140" t="s">
        <v>383</v>
      </c>
      <c r="P23" s="140" t="str">
        <f t="shared" si="3"/>
        <v>DRMCC_RE97_27_DNP.AI_00018_ACTUAL_CALCULATE_WATER_SATURATION_IN_XFMR</v>
      </c>
    </row>
    <row r="24" spans="2:16" x14ac:dyDescent="0.2">
      <c r="B24" s="140">
        <v>19</v>
      </c>
      <c r="C24" s="140" t="s">
        <v>384</v>
      </c>
      <c r="D24" s="144" t="str">
        <f t="shared" si="0"/>
        <v>SATEC_P18_Q14_IN_IV.AI_00019_TOTALKW</v>
      </c>
      <c r="F24" s="140">
        <v>19</v>
      </c>
      <c r="G24" s="140" t="s">
        <v>385</v>
      </c>
      <c r="H24" s="144" t="str">
        <f t="shared" si="1"/>
        <v>Bitronics_P12_Q3_FOWLES_DNP.AI_00019_NEUTRAL_CURRENT</v>
      </c>
      <c r="J24" s="140">
        <v>6</v>
      </c>
      <c r="K24" s="140" t="s">
        <v>605</v>
      </c>
      <c r="L24" s="140" t="str">
        <f t="shared" si="4"/>
        <v>Ion_P12_Q3_FOWLES_DNP.AI_00006_Ph_C_kV</v>
      </c>
      <c r="N24" s="140">
        <v>19</v>
      </c>
      <c r="O24" s="140" t="s">
        <v>386</v>
      </c>
      <c r="P24" s="140" t="str">
        <f>CONCATENATE($O$1, ".", $O$2, "_", TEXT(N24, "00000"), "_",O24)</f>
        <v>DRMCC_RE97_27_DNP.AI_00019_XFMR_OIL_TEMPERATURE</v>
      </c>
    </row>
    <row r="25" spans="2:16" x14ac:dyDescent="0.2">
      <c r="B25" s="140">
        <v>20</v>
      </c>
      <c r="C25" s="140" t="s">
        <v>387</v>
      </c>
      <c r="D25" s="144" t="str">
        <f t="shared" si="0"/>
        <v>SATEC_P18_Q14_IN_IV.AI_00020_TOTAL_KVAR</v>
      </c>
      <c r="F25" s="140">
        <v>20</v>
      </c>
      <c r="G25" s="140" t="s">
        <v>388</v>
      </c>
      <c r="H25" s="144" t="str">
        <f t="shared" si="1"/>
        <v>Bitronics_P12_Q3_FOWLES_DNP.AI_00020_FREQUENCY      </v>
      </c>
      <c r="J25" s="140">
        <v>7</v>
      </c>
      <c r="K25" s="140" t="s">
        <v>606</v>
      </c>
      <c r="L25" s="140" t="str">
        <f t="shared" si="4"/>
        <v>Ion_P12_Q3_FOWLES_DNP.AI_00007_Avg_kV</v>
      </c>
      <c r="N25" s="140">
        <v>20</v>
      </c>
      <c r="O25" s="140" t="s">
        <v>389</v>
      </c>
      <c r="P25" s="140" t="str">
        <f t="shared" si="3"/>
        <v>DRMCC_RE97_27_DNP.AI_00020_LAST_SAVED_CARBON_MONOXIDE_CONCENTRATION</v>
      </c>
    </row>
    <row r="26" spans="2:16" x14ac:dyDescent="0.2">
      <c r="B26" s="140">
        <v>21</v>
      </c>
      <c r="C26" s="140" t="s">
        <v>390</v>
      </c>
      <c r="D26" s="144" t="str">
        <f t="shared" si="0"/>
        <v>SATEC_P18_Q14_IN_IV.AI_00021_TOTAL_KVA</v>
      </c>
      <c r="H26" s="144"/>
      <c r="J26" s="140">
        <v>8</v>
      </c>
      <c r="K26" s="140" t="s">
        <v>607</v>
      </c>
      <c r="L26" s="140" t="str">
        <f t="shared" si="4"/>
        <v>Ion_P12_Q3_FOWLES_DNP.AI_00008_Total_MW_Comp</v>
      </c>
      <c r="N26" s="140">
        <v>21</v>
      </c>
      <c r="O26" s="140" t="s">
        <v>391</v>
      </c>
      <c r="P26" s="140" t="str">
        <f t="shared" si="3"/>
        <v>DRMCC_RE97_27_DNP.AI_00021_HYDROGEN_TREND</v>
      </c>
    </row>
    <row r="27" spans="2:16" x14ac:dyDescent="0.2">
      <c r="B27" s="140">
        <v>22</v>
      </c>
      <c r="C27" s="140" t="s">
        <v>392</v>
      </c>
      <c r="D27" s="144" t="str">
        <f t="shared" si="0"/>
        <v>SATEC_P18_Q14_IN_IV.AI_00022_NEUT_CURRENT</v>
      </c>
      <c r="H27" s="144"/>
      <c r="J27" s="140">
        <v>9</v>
      </c>
      <c r="K27" s="140" t="s">
        <v>608</v>
      </c>
      <c r="L27" s="140" t="str">
        <f t="shared" si="4"/>
        <v>Ion_P12_Q3_FOWLES_DNP.AI_00009_Total_MVAR_Comp</v>
      </c>
      <c r="N27" s="140">
        <v>22</v>
      </c>
      <c r="O27" s="140" t="s">
        <v>393</v>
      </c>
      <c r="P27" s="140" t="str">
        <f t="shared" si="3"/>
        <v>DRMCC_RE97_27_DNP.AI_00022_CARBON_MONOXIDE_TREND</v>
      </c>
    </row>
    <row r="28" spans="2:16" x14ac:dyDescent="0.2">
      <c r="B28" s="140">
        <v>23</v>
      </c>
      <c r="C28" s="140" t="s">
        <v>394</v>
      </c>
      <c r="D28" s="144" t="str">
        <f t="shared" si="0"/>
        <v>SATEC_P18_Q14_IN_IV.AI_00023_FREQ</v>
      </c>
      <c r="H28" s="144"/>
      <c r="J28" s="140">
        <v>10</v>
      </c>
      <c r="K28" s="140" t="s">
        <v>609</v>
      </c>
      <c r="L28" s="140" t="str">
        <f t="shared" si="4"/>
        <v>Ion_P12_Q3_FOWLES_DNP.AI_00010_Total_MW_Uncomp</v>
      </c>
      <c r="N28" s="140">
        <v>23</v>
      </c>
      <c r="O28" s="140" t="s">
        <v>395</v>
      </c>
      <c r="P28" s="140" t="str">
        <f t="shared" si="3"/>
        <v>DRMCC_RE97_27_DNP.AI_00023_MOISTURE_IN_OIL_TREND</v>
      </c>
    </row>
    <row r="29" spans="2:16" x14ac:dyDescent="0.2">
      <c r="B29" s="140">
        <v>24</v>
      </c>
      <c r="D29" s="144" t="str">
        <f t="shared" si="0"/>
        <v>SATEC_P18_Q14_IN_IV.AI_00024_</v>
      </c>
      <c r="H29" s="144"/>
      <c r="J29" s="140">
        <v>11</v>
      </c>
      <c r="K29" s="140" t="s">
        <v>610</v>
      </c>
      <c r="L29" s="140" t="str">
        <f t="shared" si="4"/>
        <v>Ion_P12_Q3_FOWLES_DNP.AI_00011_Total_MVAR_Uncomp</v>
      </c>
      <c r="N29" s="140">
        <v>24</v>
      </c>
      <c r="O29" s="140" t="s">
        <v>335</v>
      </c>
      <c r="P29" s="140" t="str">
        <f t="shared" si="3"/>
        <v>DRMCC_RE97_27_DNP.AI_00024_XV_LOAD_CURRENT</v>
      </c>
    </row>
    <row r="30" spans="2:16" x14ac:dyDescent="0.2">
      <c r="B30" s="140">
        <v>25</v>
      </c>
      <c r="D30" s="144" t="str">
        <f t="shared" si="0"/>
        <v>SATEC_P18_Q14_IN_IV.AI_00025_</v>
      </c>
      <c r="H30" s="144"/>
      <c r="J30" s="140">
        <v>12</v>
      </c>
      <c r="K30" s="140" t="s">
        <v>611</v>
      </c>
      <c r="L30" s="140" t="str">
        <f t="shared" si="4"/>
        <v>Ion_P12_Q3_FOWLES_DNP.AI_00012_Frequency</v>
      </c>
      <c r="N30" s="140">
        <v>25</v>
      </c>
      <c r="O30" s="140" t="s">
        <v>396</v>
      </c>
      <c r="P30" s="140" t="str">
        <f t="shared" si="3"/>
        <v>DRMCC_RE97_27_DNP.AI_00025_XV_VOLTAGE</v>
      </c>
    </row>
    <row r="31" spans="2:16" x14ac:dyDescent="0.2">
      <c r="B31" s="140">
        <v>26</v>
      </c>
      <c r="D31" s="144" t="str">
        <f t="shared" si="0"/>
        <v>SATEC_P18_Q14_IN_IV.AI_00026_</v>
      </c>
      <c r="H31" s="144"/>
      <c r="J31" s="140">
        <v>13</v>
      </c>
      <c r="K31" s="140" t="s">
        <v>612</v>
      </c>
      <c r="L31" s="140" t="str">
        <f t="shared" si="4"/>
        <v>Ion_P12_Q3_FOWLES_DNP.AI_00013_V_ZeroSeqMag</v>
      </c>
      <c r="N31" s="140">
        <v>26</v>
      </c>
      <c r="O31" s="140" t="s">
        <v>397</v>
      </c>
      <c r="P31" s="140" t="str">
        <f t="shared" si="3"/>
        <v>DRMCC_RE97_27_DNP.AI_00026_MONTH_FROM_DRMCC</v>
      </c>
    </row>
    <row r="32" spans="2:16" x14ac:dyDescent="0.2">
      <c r="B32" s="140">
        <v>27</v>
      </c>
      <c r="D32" s="144" t="str">
        <f t="shared" si="0"/>
        <v>SATEC_P18_Q14_IN_IV.AI_00027_</v>
      </c>
      <c r="H32" s="144"/>
      <c r="N32" s="140">
        <v>27</v>
      </c>
      <c r="O32" s="140" t="s">
        <v>398</v>
      </c>
      <c r="P32" s="140" t="str">
        <f t="shared" si="3"/>
        <v>DRMCC_RE97_27_DNP.AI_00027_DAY_FROM_DRMCC</v>
      </c>
    </row>
    <row r="33" spans="2:16" x14ac:dyDescent="0.2">
      <c r="B33" s="140">
        <v>28</v>
      </c>
      <c r="D33" s="144" t="str">
        <f t="shared" si="0"/>
        <v>SATEC_P18_Q14_IN_IV.AI_00028_</v>
      </c>
      <c r="H33" s="144"/>
      <c r="N33" s="140">
        <v>28</v>
      </c>
      <c r="O33" s="140" t="s">
        <v>399</v>
      </c>
      <c r="P33" s="140" t="str">
        <f t="shared" si="3"/>
        <v>DRMCC_RE97_27_DNP.AI_00028_YEAR_FROM_DRMCC</v>
      </c>
    </row>
    <row r="34" spans="2:16" x14ac:dyDescent="0.2">
      <c r="B34" s="140">
        <v>29</v>
      </c>
      <c r="D34" s="144" t="str">
        <f t="shared" si="0"/>
        <v>SATEC_P18_Q14_IN_IV.AI_00029_</v>
      </c>
      <c r="H34" s="144"/>
      <c r="N34" s="140">
        <v>29</v>
      </c>
      <c r="O34" s="140" t="s">
        <v>400</v>
      </c>
      <c r="P34" s="140" t="str">
        <f t="shared" si="3"/>
        <v>DRMCC_RE97_27_DNP.AI_00029_HOUR_FROM_DRMCC</v>
      </c>
    </row>
    <row r="35" spans="2:16" x14ac:dyDescent="0.2">
      <c r="B35" s="140">
        <v>30</v>
      </c>
      <c r="D35" s="144" t="str">
        <f t="shared" si="0"/>
        <v>SATEC_P18_Q14_IN_IV.AI_00030_</v>
      </c>
      <c r="H35" s="144"/>
      <c r="N35" s="140">
        <v>30</v>
      </c>
      <c r="O35" s="140" t="s">
        <v>401</v>
      </c>
      <c r="P35" s="140" t="str">
        <f t="shared" si="3"/>
        <v>DRMCC_RE97_27_DNP.AI_00030_MINUTE_FROM_DRMCC</v>
      </c>
    </row>
    <row r="36" spans="2:16" x14ac:dyDescent="0.2">
      <c r="N36" s="140">
        <v>31</v>
      </c>
      <c r="O36" s="140" t="s">
        <v>402</v>
      </c>
      <c r="P36" s="140" t="str">
        <f t="shared" si="3"/>
        <v>DRMCC_RE97_27_DNP.AI_00031_MONTH_OF_LAST_MEASUREMENT</v>
      </c>
    </row>
    <row r="37" spans="2:16" x14ac:dyDescent="0.2">
      <c r="N37" s="140">
        <v>32</v>
      </c>
      <c r="O37" s="140" t="s">
        <v>403</v>
      </c>
      <c r="P37" s="140" t="str">
        <f t="shared" si="3"/>
        <v>DRMCC_RE97_27_DNP.AI_00032_DAY_OF_LAST_MEASUREMENT</v>
      </c>
    </row>
    <row r="38" spans="2:16" x14ac:dyDescent="0.2">
      <c r="N38" s="140">
        <v>33</v>
      </c>
      <c r="O38" s="140" t="s">
        <v>404</v>
      </c>
      <c r="P38" s="140" t="str">
        <f t="shared" si="3"/>
        <v>DRMCC_RE97_27_DNP.AI_00033_YEAR_OF_LAST_MEASUREMENT</v>
      </c>
    </row>
    <row r="39" spans="2:16" x14ac:dyDescent="0.2">
      <c r="N39" s="140">
        <v>34</v>
      </c>
      <c r="O39" s="140" t="s">
        <v>405</v>
      </c>
      <c r="P39" s="140" t="str">
        <f t="shared" si="3"/>
        <v>DRMCC_RE97_27_DNP.AI_00034_HOUR_OF_LAST_MEASUREMENT</v>
      </c>
    </row>
    <row r="40" spans="2:16" x14ac:dyDescent="0.2">
      <c r="N40" s="140">
        <v>35</v>
      </c>
      <c r="O40" s="140" t="s">
        <v>406</v>
      </c>
      <c r="P40" s="140" t="str">
        <f t="shared" si="3"/>
        <v>DRMCC_RE97_27_DNP.AI_00035_MINUTE_OF_LAST_MEASUREMENT</v>
      </c>
    </row>
    <row r="41" spans="2:16" x14ac:dyDescent="0.2">
      <c r="N41" s="140">
        <v>36</v>
      </c>
      <c r="O41" s="140" t="s">
        <v>407</v>
      </c>
      <c r="P41" s="140" t="str">
        <f t="shared" si="3"/>
        <v>DRMCC_RE97_27_DNP.AI_00036_OIL_TEMP_AT_TIME_OF_MEASUREMENT</v>
      </c>
    </row>
    <row r="42" spans="2:16" x14ac:dyDescent="0.2">
      <c r="N42" s="140">
        <v>37</v>
      </c>
      <c r="O42" s="140" t="s">
        <v>408</v>
      </c>
      <c r="P42" s="140" t="str">
        <f t="shared" si="3"/>
        <v>DRMCC_RE97_27_DNP.AI_00037_DEVICE_MEASURING_ERROR</v>
      </c>
    </row>
    <row r="43" spans="2:16" x14ac:dyDescent="0.2">
      <c r="N43" s="140">
        <v>38</v>
      </c>
      <c r="O43" s="140" t="s">
        <v>409</v>
      </c>
      <c r="P43" s="140" t="str">
        <f t="shared" si="3"/>
        <v>DRMCC_RE97_27_DNP.AI_00038_DEVICE_ALARM_STATUS</v>
      </c>
    </row>
    <row r="44" spans="2:16" x14ac:dyDescent="0.2">
      <c r="N44" s="140">
        <v>39</v>
      </c>
      <c r="O44" s="140" t="s">
        <v>410</v>
      </c>
      <c r="P44" s="140" t="str">
        <f t="shared" si="3"/>
        <v>DRMCC_RE97_27_DNP.AI_00039_SET_1_DIS_EN</v>
      </c>
    </row>
    <row r="45" spans="2:16" x14ac:dyDescent="0.2">
      <c r="N45" s="140">
        <v>40</v>
      </c>
      <c r="O45" s="140" t="s">
        <v>411</v>
      </c>
      <c r="P45" s="140" t="str">
        <f t="shared" si="3"/>
        <v>DRMCC_RE97_27_DNP.AI_00040_SET_2_DIS_EN</v>
      </c>
    </row>
    <row r="46" spans="2:16" x14ac:dyDescent="0.2">
      <c r="N46" s="140">
        <v>41</v>
      </c>
      <c r="O46" s="140" t="s">
        <v>412</v>
      </c>
      <c r="P46" s="140" t="str">
        <f t="shared" si="3"/>
        <v>DRMCC_RE97_27_DNP.AI_00041_SET_1_ALARM_ON_CURRENT_IMBALANCE_MAGNITUDE</v>
      </c>
    </row>
    <row r="47" spans="2:16" x14ac:dyDescent="0.2">
      <c r="N47" s="140">
        <v>42</v>
      </c>
      <c r="O47" s="140" t="s">
        <v>413</v>
      </c>
      <c r="P47" s="140" t="str">
        <f t="shared" si="3"/>
        <v>DRMCC_RE97_27_DNP.AI_00042_SET_2_ALARM_ON_CURRENT_IMBALANCE_MAGNITUDE</v>
      </c>
    </row>
    <row r="48" spans="2:16" x14ac:dyDescent="0.2">
      <c r="N48" s="140">
        <v>43</v>
      </c>
      <c r="O48" s="140" t="s">
        <v>414</v>
      </c>
      <c r="P48" s="140" t="str">
        <f t="shared" si="3"/>
        <v>DRMCC_RE97_27_DNP.AI_00043_SET_1_SUM_CURRENT_IMBALANCE</v>
      </c>
    </row>
    <row r="49" spans="14:16" x14ac:dyDescent="0.2">
      <c r="N49" s="140">
        <v>44</v>
      </c>
      <c r="O49" s="140" t="s">
        <v>415</v>
      </c>
      <c r="P49" s="140" t="str">
        <f t="shared" si="3"/>
        <v>DRMCC_RE97_27_DNP.AI_00044_SET_2_SUM_CURRENT_IMBALANCE</v>
      </c>
    </row>
    <row r="50" spans="14:16" x14ac:dyDescent="0.2">
      <c r="N50" s="140">
        <v>45</v>
      </c>
      <c r="O50" s="140" t="s">
        <v>416</v>
      </c>
      <c r="P50" s="140" t="str">
        <f t="shared" si="3"/>
        <v>DRMCC_RE97_27_DNP.AI_00045_SET_1_VECTOR_IMBALANCE</v>
      </c>
    </row>
    <row r="51" spans="14:16" x14ac:dyDescent="0.2">
      <c r="N51" s="140">
        <v>46</v>
      </c>
      <c r="O51" s="140" t="s">
        <v>417</v>
      </c>
      <c r="P51" s="140" t="str">
        <f t="shared" si="3"/>
        <v>DRMCC_RE97_27_DNP.AI_00046_SET_2_VECTOR_IMBALANCE</v>
      </c>
    </row>
    <row r="52" spans="14:16" x14ac:dyDescent="0.2">
      <c r="N52" s="140">
        <v>47</v>
      </c>
      <c r="O52" s="140" t="s">
        <v>418</v>
      </c>
      <c r="P52" s="140" t="str">
        <f t="shared" si="3"/>
        <v>DRMCC_RE97_27_DNP.AI_00047_SET_1_SUM_CURRENT_TREND</v>
      </c>
    </row>
    <row r="53" spans="14:16" x14ac:dyDescent="0.2">
      <c r="N53" s="140">
        <v>48</v>
      </c>
      <c r="O53" s="140" t="s">
        <v>419</v>
      </c>
      <c r="P53" s="140" t="str">
        <f t="shared" si="3"/>
        <v>DRMCC_RE97_27_DNP.AI_00048_SET_2_SUM_CURRENT_TREND</v>
      </c>
    </row>
    <row r="54" spans="14:16" x14ac:dyDescent="0.2">
      <c r="N54" s="140">
        <v>49</v>
      </c>
      <c r="O54" s="140" t="s">
        <v>420</v>
      </c>
      <c r="P54" s="140" t="str">
        <f t="shared" si="3"/>
        <v>DRMCC_RE97_27_DNP.AI_00049_SET_1_MAGNITUDE_TEMP_DEP</v>
      </c>
    </row>
    <row r="55" spans="14:16" x14ac:dyDescent="0.2">
      <c r="N55" s="140">
        <v>50</v>
      </c>
      <c r="O55" s="140" t="s">
        <v>421</v>
      </c>
      <c r="P55" s="140" t="str">
        <f t="shared" si="3"/>
        <v>DRMCC_RE97_27_DNP.AI_00050_SET_2_MAGNITUDE_TEMP_DEP</v>
      </c>
    </row>
    <row r="56" spans="14:16" x14ac:dyDescent="0.2">
      <c r="N56" s="140">
        <v>51</v>
      </c>
      <c r="O56" s="140" t="s">
        <v>422</v>
      </c>
      <c r="P56" s="140" t="str">
        <f t="shared" si="3"/>
        <v>DRMCC_RE97_27_DNP.AI_00051_SET_1_VECTOR_TEMP_DEP</v>
      </c>
    </row>
    <row r="57" spans="14:16" x14ac:dyDescent="0.2">
      <c r="N57" s="140">
        <v>52</v>
      </c>
      <c r="O57" s="140" t="s">
        <v>423</v>
      </c>
      <c r="P57" s="140" t="str">
        <f t="shared" si="3"/>
        <v>DRMCC_RE97_27_DNP.AI_00052_SET_2_VECTOR_TEMP_DEP</v>
      </c>
    </row>
    <row r="58" spans="14:16" x14ac:dyDescent="0.2">
      <c r="N58" s="140">
        <v>53</v>
      </c>
      <c r="O58" s="140" t="s">
        <v>424</v>
      </c>
      <c r="P58" s="140" t="str">
        <f t="shared" si="3"/>
        <v>DRMCC_RE97_27_DNP.AI_00053_SET_1_BUSH_1_POWER_FACTOR</v>
      </c>
    </row>
    <row r="59" spans="14:16" x14ac:dyDescent="0.2">
      <c r="N59" s="140">
        <v>54</v>
      </c>
      <c r="O59" s="140" t="s">
        <v>425</v>
      </c>
      <c r="P59" s="140" t="str">
        <f t="shared" si="3"/>
        <v>DRMCC_RE97_27_DNP.AI_00054_SET_1_BUSH_1_CAPACITANCE</v>
      </c>
    </row>
    <row r="60" spans="14:16" x14ac:dyDescent="0.2">
      <c r="N60" s="140">
        <v>55</v>
      </c>
      <c r="O60" s="140" t="s">
        <v>426</v>
      </c>
      <c r="P60" s="140" t="str">
        <f t="shared" si="3"/>
        <v>DRMCC_RE97_27_DNP.AI_00055_SET_1_BUSH_2_POWER_FACTOR</v>
      </c>
    </row>
    <row r="61" spans="14:16" x14ac:dyDescent="0.2">
      <c r="N61" s="140">
        <v>56</v>
      </c>
      <c r="O61" s="140" t="s">
        <v>427</v>
      </c>
      <c r="P61" s="140" t="str">
        <f t="shared" si="3"/>
        <v>DRMCC_RE97_27_DNP.AI_00056_SET_1_BUSH_2_CAPACITANCE</v>
      </c>
    </row>
    <row r="62" spans="14:16" x14ac:dyDescent="0.2">
      <c r="N62" s="140">
        <v>57</v>
      </c>
      <c r="O62" s="140" t="s">
        <v>428</v>
      </c>
      <c r="P62" s="140" t="str">
        <f t="shared" si="3"/>
        <v>DRMCC_RE97_27_DNP.AI_00057_SET_1_BUSH_3_POWER_FACTOR</v>
      </c>
    </row>
    <row r="63" spans="14:16" x14ac:dyDescent="0.2">
      <c r="N63" s="140">
        <v>58</v>
      </c>
      <c r="O63" s="140" t="s">
        <v>429</v>
      </c>
      <c r="P63" s="140" t="str">
        <f t="shared" si="3"/>
        <v>DRMCC_RE97_27_DNP.AI_00058_SET_1_BUSH_3_CAPACITANCE</v>
      </c>
    </row>
    <row r="64" spans="14:16" x14ac:dyDescent="0.2">
      <c r="N64" s="140">
        <v>59</v>
      </c>
      <c r="O64" s="140" t="s">
        <v>430</v>
      </c>
      <c r="P64" s="140" t="str">
        <f t="shared" si="3"/>
        <v>DRMCC_RE97_27_DNP.AI_00059_SET_2_BUSH_1_POWER_FACTOR</v>
      </c>
    </row>
    <row r="65" spans="14:16" x14ac:dyDescent="0.2">
      <c r="N65" s="140">
        <v>60</v>
      </c>
      <c r="O65" s="140" t="s">
        <v>431</v>
      </c>
      <c r="P65" s="140" t="str">
        <f t="shared" si="3"/>
        <v>DRMCC_RE97_27_DNP.AI_00060_SET_2_BUSH_1_CAPACITANCE</v>
      </c>
    </row>
    <row r="66" spans="14:16" x14ac:dyDescent="0.2">
      <c r="N66" s="140">
        <v>61</v>
      </c>
      <c r="O66" s="140" t="s">
        <v>432</v>
      </c>
      <c r="P66" s="140" t="str">
        <f t="shared" si="3"/>
        <v>DRMCC_RE97_27_DNP.AI_00061_SET_2_BUSH_2_POWER_FACTOR</v>
      </c>
    </row>
    <row r="67" spans="14:16" x14ac:dyDescent="0.2">
      <c r="N67" s="140">
        <v>62</v>
      </c>
      <c r="O67" s="140" t="s">
        <v>433</v>
      </c>
      <c r="P67" s="140" t="str">
        <f t="shared" si="3"/>
        <v>DRMCC_RE97_27_DNP.AI_00062_SET_2_BUSH_2_CAPACITANCE</v>
      </c>
    </row>
    <row r="68" spans="14:16" x14ac:dyDescent="0.2">
      <c r="N68" s="140">
        <v>63</v>
      </c>
      <c r="O68" s="140" t="s">
        <v>434</v>
      </c>
      <c r="P68" s="140" t="str">
        <f t="shared" si="3"/>
        <v>DRMCC_RE97_27_DNP.AI_00063_SET_2_BUSH_3_POWER_FACTOR</v>
      </c>
    </row>
    <row r="69" spans="14:16" x14ac:dyDescent="0.2">
      <c r="N69" s="140">
        <v>64</v>
      </c>
      <c r="O69" s="140" t="s">
        <v>435</v>
      </c>
      <c r="P69" s="140" t="str">
        <f t="shared" si="3"/>
        <v>DRMCC_RE97_27_DNP.AI_00064_SET_2_BUSH_3_CAPACITANCE</v>
      </c>
    </row>
    <row r="70" spans="14:16" x14ac:dyDescent="0.2">
      <c r="N70" s="140">
        <v>65</v>
      </c>
      <c r="O70" s="140" t="s">
        <v>436</v>
      </c>
      <c r="P70" s="140" t="str">
        <f t="shared" ref="P70:P72" si="5">CONCATENATE($O$1, ".", $O$2, "_", TEXT(N70, "00000"), "_",O70)</f>
        <v>DRMCC_RE97_27_DNP.AI_00065_MIDDLE_OIL_TEMPERATURE</v>
      </c>
    </row>
    <row r="71" spans="14:16" x14ac:dyDescent="0.2">
      <c r="N71" s="140">
        <v>66</v>
      </c>
      <c r="O71" s="140" t="s">
        <v>437</v>
      </c>
      <c r="P71" s="140" t="str">
        <f t="shared" si="5"/>
        <v>DRMCC_RE97_27_DNP.AI_00066_H0X0_PHASE_LOAD_CURRENT</v>
      </c>
    </row>
    <row r="72" spans="14:16" x14ac:dyDescent="0.2">
      <c r="N72" s="140">
        <v>67</v>
      </c>
      <c r="O72" s="140" t="s">
        <v>438</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Liska, Michael E (Mike)</cp:lastModifiedBy>
  <cp:lastPrinted>2019-09-17T21:19:40Z</cp:lastPrinted>
  <dcterms:created xsi:type="dcterms:W3CDTF">2018-07-30T13:16:36Z</dcterms:created>
  <dcterms:modified xsi:type="dcterms:W3CDTF">2019-10-08T21:15:26Z</dcterms:modified>
</cp:coreProperties>
</file>