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shafer\Desktop\Projects\Andover-JC\FOR Q4\"/>
    </mc:Choice>
  </mc:AlternateContent>
  <xr:revisionPtr revIDLastSave="0" documentId="13_ncr:1_{B233D838-AFE6-4505-BFCA-EAA1E9CBF790}" xr6:coauthVersionLast="36" xr6:coauthVersionMax="36" xr10:uidLastSave="{00000000-0000-0000-0000-000000000000}"/>
  <bookViews>
    <workbookView xWindow="0" yWindow="0" windowWidth="23940" windowHeight="9060" tabRatio="921" activeTab="2" xr2:uid="{00000000-000D-0000-FFFF-FFFF00000000}"/>
  </bookViews>
  <sheets>
    <sheet name="Rev" sheetId="3" r:id="rId1"/>
    <sheet name="SettingsTab" sheetId="30" state="hidden" r:id="rId2"/>
    <sheet name="General" sheetId="1" r:id="rId3"/>
    <sheet name="ASE Settings" sheetId="35" r:id="rId4"/>
    <sheet name="DNP DCA" sheetId="14" state="hidden" r:id="rId5"/>
    <sheet name="DNP DPA" sheetId="16" state="hidden" r:id="rId6"/>
    <sheet name="Calculator" sheetId="15" state="hidden" r:id="rId7"/>
    <sheet name="Comm WD" sheetId="13" state="hidden" r:id="rId8"/>
    <sheet name="Westmaint II" sheetId="10" state="hidden" r:id="rId9"/>
    <sheet name="Bridgeman" sheetId="20" state="hidden" r:id="rId10"/>
    <sheet name="DNP Data Link" sheetId="18" state="hidden" r:id="rId11"/>
    <sheet name="Harris DCA" sheetId="8" state="hidden" r:id="rId12"/>
    <sheet name="System Point Database" sheetId="9" state="hidden" r:id="rId13"/>
    <sheet name="General Settings" sheetId="29" state="hidden" r:id="rId14"/>
    <sheet name="Client Devices" sheetId="21" state="hidden" r:id="rId15"/>
    <sheet name="Server Devices" sheetId="22" state="hidden" r:id="rId16"/>
    <sheet name="DNP Map" sheetId="23" state="hidden" r:id="rId17"/>
    <sheet name="User Logic" sheetId="24" state="hidden" r:id="rId18"/>
    <sheet name="Axion" sheetId="25" state="hidden" r:id="rId19"/>
    <sheet name="Access Point" sheetId="26" state="hidden" r:id="rId20"/>
    <sheet name="Tag Processor" sheetId="27" state="hidden" r:id="rId21"/>
    <sheet name="Tag Builder" sheetId="12" r:id="rId22"/>
    <sheet name="Dropdowns" sheetId="7" state="hidden" r:id="rId23"/>
  </sheets>
  <externalReferences>
    <externalReference r:id="rId24"/>
  </externalReferences>
  <definedNames>
    <definedName name="DeviceName">General!$D$9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72" i="12" l="1"/>
  <c r="O71" i="12"/>
  <c r="O70" i="12"/>
  <c r="O69" i="12"/>
  <c r="O68" i="12"/>
  <c r="O67" i="12"/>
  <c r="O66" i="12"/>
  <c r="O65" i="12"/>
  <c r="O64" i="12"/>
  <c r="O63" i="12"/>
  <c r="O62" i="12"/>
  <c r="O61" i="12"/>
  <c r="O60" i="12"/>
  <c r="O59" i="12"/>
  <c r="O58" i="12"/>
  <c r="O57" i="12"/>
  <c r="O56" i="12"/>
  <c r="O55" i="12"/>
  <c r="O54" i="12"/>
  <c r="O53" i="12"/>
  <c r="O52" i="12"/>
  <c r="O51" i="12"/>
  <c r="O50" i="12"/>
  <c r="O49" i="12"/>
  <c r="O48" i="12"/>
  <c r="O47" i="12"/>
  <c r="O46" i="12"/>
  <c r="O45" i="12"/>
  <c r="O44" i="12"/>
  <c r="O43" i="12"/>
  <c r="O42" i="12"/>
  <c r="O41" i="12"/>
  <c r="O40" i="12"/>
  <c r="O39" i="12"/>
  <c r="O38" i="12"/>
  <c r="O37" i="12"/>
  <c r="O36" i="12"/>
  <c r="O35" i="12"/>
  <c r="C35" i="12"/>
  <c r="O34" i="12"/>
  <c r="C34" i="12"/>
  <c r="O33" i="12"/>
  <c r="C33" i="12"/>
  <c r="O32" i="12"/>
  <c r="C32" i="12"/>
  <c r="O31" i="12"/>
  <c r="K31" i="12"/>
  <c r="C31" i="12"/>
  <c r="O30" i="12"/>
  <c r="K30" i="12"/>
  <c r="C30" i="12"/>
  <c r="O29" i="12"/>
  <c r="K29" i="12"/>
  <c r="C29" i="12"/>
  <c r="O28" i="12"/>
  <c r="K28" i="12"/>
  <c r="C28" i="12"/>
  <c r="O27" i="12"/>
  <c r="K27" i="12"/>
  <c r="C27" i="12"/>
  <c r="O26" i="12"/>
  <c r="K26" i="12"/>
  <c r="C26" i="12"/>
  <c r="O25" i="12"/>
  <c r="K25" i="12"/>
  <c r="G25" i="12"/>
  <c r="C25" i="12"/>
  <c r="O24" i="12"/>
  <c r="K24" i="12"/>
  <c r="G24" i="12"/>
  <c r="C24" i="12"/>
  <c r="O23" i="12"/>
  <c r="K23" i="12"/>
  <c r="G23" i="12"/>
  <c r="C23" i="12"/>
  <c r="O22" i="12"/>
  <c r="K22" i="12"/>
  <c r="G22" i="12"/>
  <c r="C22" i="12"/>
  <c r="O21" i="12"/>
  <c r="K21" i="12"/>
  <c r="G21" i="12"/>
  <c r="C21" i="12"/>
  <c r="O20" i="12"/>
  <c r="K20" i="12"/>
  <c r="G20" i="12"/>
  <c r="C20" i="12"/>
  <c r="O19" i="12"/>
  <c r="K19" i="12"/>
  <c r="G19" i="12"/>
  <c r="C19" i="12"/>
  <c r="O18" i="12"/>
  <c r="K18" i="12"/>
  <c r="G18" i="12"/>
  <c r="C18" i="12"/>
  <c r="O17" i="12"/>
  <c r="G17" i="12"/>
  <c r="C17" i="12"/>
  <c r="O16" i="12"/>
  <c r="G16" i="12"/>
  <c r="C16" i="12"/>
  <c r="O15" i="12"/>
  <c r="K15" i="12"/>
  <c r="G15" i="12"/>
  <c r="C15" i="12"/>
  <c r="O14" i="12"/>
  <c r="K14" i="12"/>
  <c r="G14" i="12"/>
  <c r="C14" i="12"/>
  <c r="O13" i="12"/>
  <c r="K13" i="12"/>
  <c r="G13" i="12"/>
  <c r="C13" i="12"/>
  <c r="O12" i="12"/>
  <c r="K12" i="12"/>
  <c r="G12" i="12"/>
  <c r="C12" i="12"/>
  <c r="O11" i="12"/>
  <c r="K11" i="12"/>
  <c r="G11" i="12"/>
  <c r="C11" i="12"/>
  <c r="O10" i="12"/>
  <c r="K10" i="12"/>
  <c r="G10" i="12"/>
  <c r="C10" i="12"/>
  <c r="O9" i="12"/>
  <c r="K9" i="12"/>
  <c r="G9" i="12"/>
  <c r="C9" i="12"/>
  <c r="O8" i="12"/>
  <c r="K8" i="12"/>
  <c r="G8" i="12"/>
  <c r="C8" i="12"/>
  <c r="O7" i="12"/>
  <c r="K7" i="12"/>
  <c r="G7" i="12"/>
  <c r="C7" i="12"/>
  <c r="O6" i="12"/>
  <c r="K6" i="12"/>
  <c r="G6" i="12"/>
  <c r="C6" i="12"/>
  <c r="O5" i="12"/>
  <c r="K5" i="12"/>
  <c r="G5" i="12"/>
  <c r="C5" i="12"/>
  <c r="D3" i="29" l="1"/>
  <c r="F2" i="27"/>
  <c r="F2" i="26"/>
  <c r="F2" i="25"/>
  <c r="F2" i="24"/>
  <c r="F2" i="23"/>
  <c r="F2" i="22"/>
  <c r="F2" i="21"/>
  <c r="D2" i="27"/>
  <c r="D2" i="26"/>
  <c r="D2" i="25"/>
  <c r="D2" i="24"/>
  <c r="D2" i="23"/>
  <c r="D2" i="22"/>
  <c r="D2" i="21"/>
  <c r="D2" i="29"/>
  <c r="F2" i="29"/>
  <c r="F2" i="18"/>
  <c r="H10" i="18"/>
  <c r="H9" i="18"/>
  <c r="H8" i="18"/>
  <c r="H7" i="18"/>
  <c r="D2" i="18"/>
  <c r="I42" i="9"/>
  <c r="H42" i="9"/>
  <c r="G42" i="9"/>
  <c r="F42" i="9"/>
  <c r="I41" i="9"/>
  <c r="H41" i="9"/>
  <c r="G41" i="9"/>
  <c r="F41" i="9"/>
  <c r="I40" i="9"/>
  <c r="I43" i="9" s="1"/>
  <c r="H40" i="9"/>
  <c r="H43" i="9" s="1"/>
  <c r="G40" i="9"/>
  <c r="G43" i="9" s="1"/>
  <c r="F40" i="9"/>
  <c r="I36" i="9"/>
  <c r="H36" i="9"/>
  <c r="G36" i="9"/>
  <c r="F36" i="9"/>
  <c r="I35" i="9"/>
  <c r="H35" i="9"/>
  <c r="G35" i="9"/>
  <c r="F35" i="9"/>
  <c r="I34" i="9"/>
  <c r="H34" i="9"/>
  <c r="H37" i="9" s="1"/>
  <c r="G34" i="9"/>
  <c r="G37" i="9" s="1"/>
  <c r="F34" i="9"/>
  <c r="F37" i="9" s="1"/>
  <c r="I30" i="9"/>
  <c r="H30" i="9"/>
  <c r="G30" i="9"/>
  <c r="F30" i="9"/>
  <c r="I29" i="9"/>
  <c r="H29" i="9"/>
  <c r="G29" i="9"/>
  <c r="F29" i="9"/>
  <c r="I28" i="9"/>
  <c r="I31" i="9" s="1"/>
  <c r="H28" i="9"/>
  <c r="H31" i="9" s="1"/>
  <c r="G28" i="9"/>
  <c r="G31" i="9" s="1"/>
  <c r="F28" i="9"/>
  <c r="F31" i="9" s="1"/>
  <c r="I24" i="9"/>
  <c r="H24" i="9"/>
  <c r="G24" i="9"/>
  <c r="F24" i="9"/>
  <c r="I23" i="9"/>
  <c r="H23" i="9"/>
  <c r="G23" i="9"/>
  <c r="F23" i="9"/>
  <c r="I22" i="9"/>
  <c r="I25" i="9" s="1"/>
  <c r="H22" i="9"/>
  <c r="H25" i="9" s="1"/>
  <c r="G22" i="9"/>
  <c r="G25" i="9" s="1"/>
  <c r="F22" i="9"/>
  <c r="F25" i="9" s="1"/>
  <c r="I18" i="9"/>
  <c r="I17" i="9"/>
  <c r="I16" i="9"/>
  <c r="H18" i="9"/>
  <c r="H17" i="9"/>
  <c r="H16" i="9"/>
  <c r="G17" i="9"/>
  <c r="G18" i="9"/>
  <c r="F18" i="9"/>
  <c r="F17" i="9"/>
  <c r="G16" i="9"/>
  <c r="F16" i="9"/>
  <c r="I37" i="9" l="1"/>
  <c r="F43" i="9"/>
  <c r="H19" i="9"/>
  <c r="F19" i="9"/>
  <c r="G19" i="9"/>
  <c r="I19" i="9"/>
  <c r="D5" i="27" l="1"/>
  <c r="F5" i="27"/>
  <c r="D16" i="27"/>
  <c r="F16" i="27"/>
  <c r="D17" i="27"/>
  <c r="F17" i="27"/>
  <c r="D18" i="27"/>
  <c r="F18" i="27"/>
  <c r="D19" i="27"/>
  <c r="F19" i="27"/>
  <c r="D21" i="27"/>
  <c r="F21" i="27"/>
  <c r="D22" i="27"/>
  <c r="F22" i="27"/>
  <c r="D23" i="27"/>
  <c r="F23" i="27"/>
  <c r="D25" i="27"/>
  <c r="F25" i="27"/>
  <c r="D26" i="27"/>
  <c r="F26" i="27"/>
  <c r="D27" i="27"/>
  <c r="F27" i="27"/>
  <c r="D29" i="27"/>
  <c r="F29" i="27"/>
  <c r="D30" i="27"/>
  <c r="F30" i="27"/>
  <c r="D31" i="27"/>
  <c r="F31" i="27"/>
  <c r="D3" i="25"/>
  <c r="F3" i="25"/>
  <c r="D4" i="25"/>
  <c r="F4" i="25"/>
  <c r="D5" i="25"/>
  <c r="F5" i="25"/>
  <c r="D9" i="25"/>
  <c r="F9" i="25"/>
  <c r="D10" i="25"/>
  <c r="F10" i="25"/>
  <c r="D12" i="25"/>
  <c r="F12" i="25"/>
  <c r="D14" i="25"/>
  <c r="F14" i="25"/>
  <c r="D3" i="24"/>
  <c r="F3" i="24"/>
  <c r="D4" i="24"/>
  <c r="F4" i="24"/>
  <c r="D6" i="24"/>
  <c r="F6" i="24"/>
  <c r="D7" i="24"/>
  <c r="F7" i="24"/>
  <c r="G16" i="20" l="1"/>
  <c r="G7" i="20"/>
  <c r="G8" i="20"/>
  <c r="G9" i="20"/>
  <c r="G10" i="20"/>
  <c r="G11" i="20"/>
  <c r="G12" i="20"/>
  <c r="G13" i="20"/>
  <c r="G18" i="20"/>
  <c r="G19" i="20"/>
  <c r="G20" i="20"/>
  <c r="G21" i="20"/>
  <c r="G22" i="20"/>
  <c r="G23" i="20"/>
  <c r="G17" i="20"/>
  <c r="G24" i="20"/>
  <c r="G25" i="20"/>
  <c r="G26" i="20"/>
  <c r="G6" i="20"/>
  <c r="K2" i="20"/>
  <c r="I2" i="20"/>
  <c r="F5" i="13"/>
  <c r="D5" i="13"/>
  <c r="F4" i="13"/>
  <c r="D4" i="13"/>
  <c r="F3" i="13"/>
  <c r="D3" i="13"/>
  <c r="D2" i="1" l="1"/>
  <c r="D2" i="35" s="1"/>
  <c r="F2" i="1" l="1"/>
  <c r="F2" i="35" s="1"/>
  <c r="I2" i="14" l="1"/>
  <c r="F2" i="10"/>
  <c r="F2" i="13"/>
  <c r="F2" i="15"/>
  <c r="G2" i="9"/>
  <c r="F2" i="16"/>
  <c r="F2" i="8"/>
  <c r="F5" i="15" l="1"/>
  <c r="D5" i="15"/>
  <c r="D4" i="15"/>
  <c r="F4" i="15"/>
  <c r="F3" i="15"/>
  <c r="D3" i="15"/>
  <c r="D2" i="10" l="1"/>
  <c r="D2" i="13"/>
  <c r="D2" i="15"/>
  <c r="D2" i="9"/>
  <c r="D2" i="16"/>
  <c r="D2" i="8"/>
  <c r="G2" i="14"/>
</calcChain>
</file>

<file path=xl/sharedStrings.xml><?xml version="1.0" encoding="utf-8"?>
<sst xmlns="http://schemas.openxmlformats.org/spreadsheetml/2006/main" count="755" uniqueCount="533">
  <si>
    <t>Connection Type</t>
  </si>
  <si>
    <t>Settings</t>
  </si>
  <si>
    <t>Baud Rate</t>
  </si>
  <si>
    <t>Client DNP Address</t>
  </si>
  <si>
    <t>Server DNP Address</t>
  </si>
  <si>
    <t>Communications</t>
  </si>
  <si>
    <t>DNP</t>
  </si>
  <si>
    <t>Integrity Poll Period</t>
  </si>
  <si>
    <t>Class 1,2,3 Polling Period</t>
  </si>
  <si>
    <t>Poll Timeout</t>
  </si>
  <si>
    <t>Number of Poll Retries</t>
  </si>
  <si>
    <t>Create Client Device Connection</t>
  </si>
  <si>
    <t>Name</t>
  </si>
  <si>
    <t>Device Name</t>
  </si>
  <si>
    <t>EIA232</t>
  </si>
  <si>
    <t>Serial Communications Port Type</t>
  </si>
  <si>
    <t>Yes</t>
  </si>
  <si>
    <t>No</t>
  </si>
  <si>
    <t>POU Pin Settings</t>
  </si>
  <si>
    <t>Tags</t>
  </si>
  <si>
    <t>Access Point Router</t>
  </si>
  <si>
    <t>Legacy_Port_Command_ID</t>
  </si>
  <si>
    <t>Source_Rx_Message_5</t>
  </si>
  <si>
    <t>Q4</t>
  </si>
  <si>
    <t>REV</t>
  </si>
  <si>
    <t>DESCRIPTION</t>
  </si>
  <si>
    <t>DATE</t>
  </si>
  <si>
    <t>A</t>
  </si>
  <si>
    <t>BY</t>
  </si>
  <si>
    <t>Created</t>
  </si>
  <si>
    <t>Q3</t>
  </si>
  <si>
    <t>Analog Inputs</t>
  </si>
  <si>
    <t>Configure Client Connection</t>
  </si>
  <si>
    <t>Enable Port Auxiliary Power (Advanced)</t>
  </si>
  <si>
    <t>General</t>
  </si>
  <si>
    <t>Substation</t>
  </si>
  <si>
    <t>Q3 Engineer</t>
  </si>
  <si>
    <t>Q4 Engineer</t>
  </si>
  <si>
    <t>Date</t>
  </si>
  <si>
    <t>BI</t>
  </si>
  <si>
    <t>DBI</t>
  </si>
  <si>
    <t>BO</t>
  </si>
  <si>
    <t>CNT</t>
  </si>
  <si>
    <t>AI</t>
  </si>
  <si>
    <t>AO</t>
  </si>
  <si>
    <t>Object Name:</t>
  </si>
  <si>
    <t>Point Type:</t>
  </si>
  <si>
    <t>Index</t>
  </si>
  <si>
    <t>Tag Suffix</t>
  </si>
  <si>
    <t>Tag</t>
  </si>
  <si>
    <t>Zack Boatwright</t>
  </si>
  <si>
    <t>Site name</t>
  </si>
  <si>
    <t>INFO:</t>
  </si>
  <si>
    <t>KV_PH_A</t>
  </si>
  <si>
    <t>KV_PH_B</t>
  </si>
  <si>
    <t>KV_PH_C</t>
  </si>
  <si>
    <t>AMPS_PH_A</t>
  </si>
  <si>
    <t>AMPS_PH_B</t>
  </si>
  <si>
    <t>AMPS_PH_C</t>
  </si>
  <si>
    <t>KW_PH_A</t>
  </si>
  <si>
    <t>KW_PH_B</t>
  </si>
  <si>
    <t>KW_PH_C</t>
  </si>
  <si>
    <t>KVAR_PH_A</t>
  </si>
  <si>
    <t>FREQ</t>
  </si>
  <si>
    <t>KVA_PH_C</t>
  </si>
  <si>
    <t>PF_PH_A</t>
  </si>
  <si>
    <t>PF_PH_B</t>
  </si>
  <si>
    <t>PF_PH_C</t>
  </si>
  <si>
    <t>TOTAL_PF</t>
  </si>
  <si>
    <t>TOTALKW</t>
  </si>
  <si>
    <t>TOTAL_KVAR</t>
  </si>
  <si>
    <t>TOTAL_KVA</t>
  </si>
  <si>
    <t>NEUT_CURRENT</t>
  </si>
  <si>
    <t>KVAR_PH_B</t>
  </si>
  <si>
    <t>KVAR_PH_C</t>
  </si>
  <si>
    <t>KVA_PH_A</t>
  </si>
  <si>
    <t>KVA_PH_B</t>
  </si>
  <si>
    <t>FREQUENCY      </t>
  </si>
  <si>
    <t>HEALTH_CHECK   </t>
  </si>
  <si>
    <t>AMPS_PH_A      </t>
  </si>
  <si>
    <t>AMPS_PH_B      </t>
  </si>
  <si>
    <t>AMPS_PH_C      </t>
  </si>
  <si>
    <t>VOLTS_PH_A     </t>
  </si>
  <si>
    <t>VOLTS_PH_B     </t>
  </si>
  <si>
    <t>VOLTS_PH_C     </t>
  </si>
  <si>
    <t>3PH_MW </t>
  </si>
  <si>
    <t>3PH_MX </t>
  </si>
  <si>
    <t>WATTS_PH_A     </t>
  </si>
  <si>
    <t>WATTS_PH_B     </t>
  </si>
  <si>
    <t>WATTS_PH_C     </t>
  </si>
  <si>
    <t>VARS_PH_A      </t>
  </si>
  <si>
    <t>VARS_PH_B      </t>
  </si>
  <si>
    <t>VARS_PH_C      </t>
  </si>
  <si>
    <t>CT_VALUE       </t>
  </si>
  <si>
    <t>CT_DIVISOR     </t>
  </si>
  <si>
    <t>PT_VALUE       </t>
  </si>
  <si>
    <t>PT_DIVISOR     </t>
  </si>
  <si>
    <t>NEUTRAL_CURRENT</t>
  </si>
  <si>
    <t>Bitronics_P12_Q3_FOWLES_DNP</t>
  </si>
  <si>
    <t>Yes if Axion RTU exists</t>
  </si>
  <si>
    <t>MW</t>
  </si>
  <si>
    <t>MVAR</t>
  </si>
  <si>
    <t>Frequency_Hertz_10</t>
  </si>
  <si>
    <t>Ion_P12_Q3_FOWLES_DNP</t>
  </si>
  <si>
    <t>Pr_Phase_A_Line_to_Neutral_kV</t>
  </si>
  <si>
    <t>Pr_Phase_A_Amps</t>
  </si>
  <si>
    <t>Pr_Phase_B_Line_to_Neutral_kV</t>
  </si>
  <si>
    <t>Pr_Phase_C_Line_to_Neutral_kV</t>
  </si>
  <si>
    <t>Average_Pr_Line_to_Line_kV</t>
  </si>
  <si>
    <t>Average_Pr_Current</t>
  </si>
  <si>
    <t>Pr_Phase_B_Amps</t>
  </si>
  <si>
    <t>Pr_Phase_C_Amps</t>
  </si>
  <si>
    <t>SATEC_P18_Q14_IN_IV</t>
  </si>
  <si>
    <t>D20ME</t>
  </si>
  <si>
    <t>D20MX</t>
  </si>
  <si>
    <t>D20M++</t>
  </si>
  <si>
    <t>Config Name</t>
  </si>
  <si>
    <t>Revision Text</t>
  </si>
  <si>
    <t>Device Configuration</t>
  </si>
  <si>
    <t>Events for Time Sync</t>
  </si>
  <si>
    <t>Time Sync Method</t>
  </si>
  <si>
    <t>Disabled</t>
  </si>
  <si>
    <t>No Time Sync</t>
  </si>
  <si>
    <t>Device Point Map</t>
  </si>
  <si>
    <t>Number:</t>
  </si>
  <si>
    <t>DCA Object Type:</t>
  </si>
  <si>
    <t>Binary Input</t>
  </si>
  <si>
    <t>Binary Output</t>
  </si>
  <si>
    <t>Running Counter</t>
  </si>
  <si>
    <t>Frozen Counter</t>
  </si>
  <si>
    <t>Analog Input 16</t>
  </si>
  <si>
    <t>Analog Output</t>
  </si>
  <si>
    <t>Analog Input 32</t>
  </si>
  <si>
    <t>Mapped to correct DCA Device?</t>
  </si>
  <si>
    <t>DPA Configuration</t>
  </si>
  <si>
    <t>DATALINK CONFIRM</t>
  </si>
  <si>
    <t>TIME SYNC ENABLE STATE</t>
  </si>
  <si>
    <t>OFFLINE LOCAL IIN</t>
  </si>
  <si>
    <t>SOE</t>
  </si>
  <si>
    <t>EMS = DISABLED 
HMI = ENABLED</t>
  </si>
  <si>
    <t>OFF</t>
  </si>
  <si>
    <t>COS</t>
  </si>
  <si>
    <t>SOE = ENABLE (IF SWAPPED WITH COS LEAVE AS IS)</t>
  </si>
  <si>
    <t>COS = DISABLED (IF SWAPPED WITH SOE LEAVE AS IS)</t>
  </si>
  <si>
    <t>Binary Input Map</t>
  </si>
  <si>
    <t>Digital Input Table</t>
  </si>
  <si>
    <t>Digital Input Type</t>
  </si>
  <si>
    <t>Both</t>
  </si>
  <si>
    <t>OR's are set up correctly</t>
  </si>
  <si>
    <t>Correct DI points</t>
  </si>
  <si>
    <t>Watch out for 0 index 
Ensure correct DI points are used in each calculator</t>
  </si>
  <si>
    <t>Communication Events</t>
  </si>
  <si>
    <t>Specifier</t>
  </si>
  <si>
    <t>Status Point</t>
  </si>
  <si>
    <t>Start Point</t>
  </si>
  <si>
    <t>Correct type?</t>
  </si>
  <si>
    <t>Correct WD point?</t>
  </si>
  <si>
    <t>Correct Point Mapped?</t>
  </si>
  <si>
    <t>Buffer Configuration</t>
  </si>
  <si>
    <t>SOE Buffer Size</t>
  </si>
  <si>
    <t>SOE Location</t>
  </si>
  <si>
    <t>NVRAM</t>
  </si>
  <si>
    <t>Welcome Message</t>
  </si>
  <si>
    <t>Login Row</t>
  </si>
  <si>
    <t>Login Text Attribute</t>
  </si>
  <si>
    <t>Inverse</t>
  </si>
  <si>
    <t>Configuration Table</t>
  </si>
  <si>
    <t>Number of RX Buffers</t>
  </si>
  <si>
    <t># of DNP Devices +3 or min  10</t>
  </si>
  <si>
    <t>Local Application Table</t>
  </si>
  <si>
    <t>Local Application Address</t>
  </si>
  <si>
    <t>Data Link Channel</t>
  </si>
  <si>
    <t>LAN HEX Address</t>
  </si>
  <si>
    <t>Remote Application Table</t>
  </si>
  <si>
    <t>Ensure Data Link is correct between Local and Remote Application Tables</t>
  </si>
  <si>
    <t>Ensure LAN HEX Address is correct</t>
  </si>
  <si>
    <t>Analog Points</t>
  </si>
  <si>
    <t>TR Winding Temp Scale Factors</t>
  </si>
  <si>
    <t>FD Scale Factors</t>
  </si>
  <si>
    <t>All Other Scale Factors</t>
  </si>
  <si>
    <t>Scaled as Winding Temp (See picture below)</t>
  </si>
  <si>
    <t>Scaled as Volts (See picture below)</t>
  </si>
  <si>
    <t>Scaled as FD (See picture below)</t>
  </si>
  <si>
    <t>AXION RTU</t>
  </si>
  <si>
    <t>RTAC Data Concentrator</t>
  </si>
  <si>
    <t>Q4er name</t>
  </si>
  <si>
    <t>Todays date</t>
  </si>
  <si>
    <t>Points List Name</t>
  </si>
  <si>
    <t>SEL321, SEL351R, SEL551, SEL352 = IB
SEL421, SEL411L, SEL451 = IB1
SEL501 = IBX</t>
  </si>
  <si>
    <t>Correct currents?</t>
  </si>
  <si>
    <t>ONLY FOR fault distance (set true)</t>
  </si>
  <si>
    <t>Enable New Event Filtering</t>
  </si>
  <si>
    <t>Check Order, Type, Source</t>
  </si>
  <si>
    <t>QC SCADA Points</t>
  </si>
  <si>
    <t>SCADA Points</t>
  </si>
  <si>
    <t>DNP Devices</t>
  </si>
  <si>
    <t>Ensure points list and config are correct/match</t>
  </si>
  <si>
    <t>Enable if device/converter needs power</t>
  </si>
  <si>
    <t>Ensure baud rates are correct</t>
  </si>
  <si>
    <t>Serial Communications</t>
  </si>
  <si>
    <t>Ensure port matches points list</t>
  </si>
  <si>
    <t>Ports</t>
  </si>
  <si>
    <t>Client - Serial (if single port and single device)
Client - Multidrop Serial (single port multi device)</t>
  </si>
  <si>
    <t>SEL_321_P06_PR_RLY_SEL
SATEC_P04_133762_DNP</t>
  </si>
  <si>
    <t>Device Name Format:</t>
  </si>
  <si>
    <t>Accept Client Time Sync (Advanced)</t>
  </si>
  <si>
    <t>Is a map mapped correctly?</t>
  </si>
  <si>
    <t>Function_DNPServerSharedMap1_DNP</t>
  </si>
  <si>
    <t>Map Name</t>
  </si>
  <si>
    <t>Allow Unsolicited Messages</t>
  </si>
  <si>
    <t>Data concentrator, Dymec, or a CDMA it's 9600 
if its RTU MPLS 38400</t>
  </si>
  <si>
    <t>Configure Server Connection</t>
  </si>
  <si>
    <t>Server Serial</t>
  </si>
  <si>
    <t>Router_PXX_EMS</t>
  </si>
  <si>
    <t>Server Connection Name</t>
  </si>
  <si>
    <t>Create Server Device Connection</t>
  </si>
  <si>
    <t>Var Obj 21 Default</t>
  </si>
  <si>
    <t>Var Obj 20 Default</t>
  </si>
  <si>
    <t>Counter Inputs</t>
  </si>
  <si>
    <t>Var Obj 32 Default</t>
  </si>
  <si>
    <t>Var Obj 30 Default</t>
  </si>
  <si>
    <t>Map matches RTU Map</t>
  </si>
  <si>
    <t>DNP Map</t>
  </si>
  <si>
    <t>24 (Leave default for 125 VDC)</t>
  </si>
  <si>
    <t>Drop Out Level  (48 V)</t>
  </si>
  <si>
    <t>36 (Leave default for 125 VDC)</t>
  </si>
  <si>
    <t>Pick Up Level (48 V)</t>
  </si>
  <si>
    <t>System tag</t>
  </si>
  <si>
    <t>57/51</t>
  </si>
  <si>
    <t>if 48V DC</t>
  </si>
  <si>
    <t>142 / 124</t>
  </si>
  <si>
    <t>if 125V DC</t>
  </si>
  <si>
    <t>OV_UV Alarm</t>
  </si>
  <si>
    <t>Add program for card failure</t>
  </si>
  <si>
    <t>Controller</t>
  </si>
  <si>
    <t>Disable_On_Network_Error</t>
  </si>
  <si>
    <t>slots are filled with all cards</t>
  </si>
  <si>
    <t>EtherCat IO have all cards mapped?</t>
  </si>
  <si>
    <t>example: 3530 on slot A port 1</t>
  </si>
  <si>
    <t>Ensure server connection is connected?</t>
  </si>
  <si>
    <t>Connections</t>
  </si>
  <si>
    <t>EtherCat IO</t>
  </si>
  <si>
    <t>48 or 125 ?</t>
  </si>
  <si>
    <t>Correct power voltage used?</t>
  </si>
  <si>
    <t>SEL_Coupler_A_ECAT</t>
  </si>
  <si>
    <t>Power Coupler Present?</t>
  </si>
  <si>
    <t>card A, B, C, ect.</t>
  </si>
  <si>
    <t>All cards present?</t>
  </si>
  <si>
    <t>Create Cards</t>
  </si>
  <si>
    <t>BLANK for all APR's</t>
  </si>
  <si>
    <t>Match the port number</t>
  </si>
  <si>
    <t>Enable_Legacy_Port_Command</t>
  </si>
  <si>
    <t>Ensure it is a tap (Bitronics are AP)</t>
  </si>
  <si>
    <t>Tap?</t>
  </si>
  <si>
    <t>Ensure its mapped to the correct device</t>
  </si>
  <si>
    <t>Correct device?</t>
  </si>
  <si>
    <t>APR_SEL_421_PXX</t>
  </si>
  <si>
    <t>Local Port Number</t>
  </si>
  <si>
    <t>SSH</t>
  </si>
  <si>
    <t>Network Connection Type</t>
  </si>
  <si>
    <t>Ethernet Incoming (Listens for Connections)</t>
  </si>
  <si>
    <t>Remote_Access_AP</t>
  </si>
  <si>
    <t>Access_Point_Name</t>
  </si>
  <si>
    <t>Access Point</t>
  </si>
  <si>
    <t>Leave Blank</t>
  </si>
  <si>
    <t>quality</t>
  </si>
  <si>
    <t>System_Time</t>
  </si>
  <si>
    <t>time source</t>
  </si>
  <si>
    <t>VirtualTagList1.Status_0002_Calc_1.stVal</t>
  </si>
  <si>
    <t>suffix</t>
  </si>
  <si>
    <t>Calculators</t>
  </si>
  <si>
    <t>SEL_24DI_B_ECAT.STATUS.q</t>
  </si>
  <si>
    <t>SEL_24DI_B_ECAT.STATUS.t</t>
  </si>
  <si>
    <t>VirtualTagList1.Status_0001_RTU_IO_FAIL.stVal</t>
  </si>
  <si>
    <t>RTAC Alarm</t>
  </si>
  <si>
    <t>SystemTags.Supply_Voltage_Pos_Neg.q</t>
  </si>
  <si>
    <t>SystemTags.Supply_Voltage_Pos_Neg.t</t>
  </si>
  <si>
    <t>VirtualTagList1.Status_0000_OV_UV.stVal</t>
  </si>
  <si>
    <t>Live data False for logging enabled points</t>
  </si>
  <si>
    <t>AXION DI', 'AXION DO', 'CALCULATOR'</t>
  </si>
  <si>
    <t>Logging Category</t>
  </si>
  <si>
    <t>(logging layout) logging enabled = true</t>
  </si>
  <si>
    <t>Logging Enabled</t>
  </si>
  <si>
    <t>SOE set up for DI, DO, Calc, &amp; WD points</t>
  </si>
  <si>
    <t>Sequence of Events</t>
  </si>
  <si>
    <t>Port Status binaries' suffix is '_POU.Offline'</t>
  </si>
  <si>
    <t>MX values are scaled /10000 (only for SEL device)</t>
  </si>
  <si>
    <t>MW values are scaled /10000 (only for SEL device)</t>
  </si>
  <si>
    <t>Fault Location points quality source</t>
  </si>
  <si>
    <t>"System_Time"</t>
  </si>
  <si>
    <t>Fault Location points time source</t>
  </si>
  <si>
    <t>Fault Location values are scaled x10</t>
  </si>
  <si>
    <t>All Destination DNP Map points have a Source</t>
  </si>
  <si>
    <r>
      <t>Destination Tag Name (.operPulse) EXAMPLE:
SEL_16DO_F_ECAT.OUTPUT_001_BKR_B101_TRIP</t>
    </r>
    <r>
      <rPr>
        <sz val="11"/>
        <color rgb="FFFF0000"/>
        <rFont val="Calibri"/>
        <family val="2"/>
        <scheme val="minor"/>
      </rPr>
      <t>.operPulse</t>
    </r>
  </si>
  <si>
    <t>Control Points</t>
  </si>
  <si>
    <t>Live data Forcable for all tags</t>
  </si>
  <si>
    <t>'Build' is 'True' for necessary rows</t>
  </si>
  <si>
    <t>Tag Processor</t>
  </si>
  <si>
    <t>Set_PTP_Time_In_Source_Priority</t>
  </si>
  <si>
    <t>Set_i870_Time_In_Source_Priority</t>
  </si>
  <si>
    <t>Set_DNP_Time_In_Source_Priority</t>
  </si>
  <si>
    <t>Set_NTP_Time_In_Source_Priority</t>
  </si>
  <si>
    <t>Set_IRIG_B_Time_In_Source_Priority</t>
  </si>
  <si>
    <t>Enable_NTP_Time_Out</t>
  </si>
  <si>
    <t>Enable_NTP_Time_In</t>
  </si>
  <si>
    <t>Enable_System_Time_DST_Offset</t>
  </si>
  <si>
    <t>System Time</t>
  </si>
  <si>
    <t>RTAC System Time Control</t>
  </si>
  <si>
    <t>DNP Map present</t>
  </si>
  <si>
    <t>All Server connections present</t>
  </si>
  <si>
    <t>All Client connections present</t>
  </si>
  <si>
    <t>REVISION TEXT SAMPLE: (7/26/2017 Rev A - Created. Points List Rev B. GMF/BMcD)</t>
  </si>
  <si>
    <t>Updated Project Properties</t>
  </si>
  <si>
    <t>RTAC Config</t>
  </si>
  <si>
    <t>Leave as is. If the RTAC is not R139 - email to Steve Deemer needs to be sent.</t>
  </si>
  <si>
    <t>Project Settings Version</t>
  </si>
  <si>
    <t>AcSELerator RTAC</t>
  </si>
  <si>
    <t>NO</t>
  </si>
  <si>
    <t>YES</t>
  </si>
  <si>
    <t>DCD</t>
  </si>
  <si>
    <t>RTS</t>
  </si>
  <si>
    <t>CTS</t>
  </si>
  <si>
    <t>CDMA/MPLS</t>
  </si>
  <si>
    <t>Device Type</t>
  </si>
  <si>
    <t>Q3er name</t>
  </si>
  <si>
    <t>ASE Protocol Translator</t>
  </si>
  <si>
    <t>Device</t>
  </si>
  <si>
    <t>Tabs</t>
  </si>
  <si>
    <t>Key Cells</t>
  </si>
  <si>
    <t>D4</t>
  </si>
  <si>
    <t>D5</t>
  </si>
  <si>
    <t>F6</t>
  </si>
  <si>
    <t>D3</t>
  </si>
  <si>
    <t>ASE Settings</t>
  </si>
  <si>
    <t>DNP DCA,DNP DPA,Calculator,Comm WD,Westmaint II,Bridgeman,DNP Data Link,Harris DCA,System Point Database</t>
  </si>
  <si>
    <t>General Settings,Client Devices,Server Devices,DNP Map,User Logic,Axion,Access Point,Tag Processor</t>
  </si>
  <si>
    <t>Q3 Date</t>
  </si>
  <si>
    <t>Q4 Date</t>
  </si>
  <si>
    <t>D7</t>
  </si>
  <si>
    <t>F7</t>
  </si>
  <si>
    <t>Standard name: SITENAME_RTU_REV_A_R139</t>
  </si>
  <si>
    <t>Standard name: SITENAME_REV_A</t>
  </si>
  <si>
    <t>Less than 8 Characters?</t>
  </si>
  <si>
    <t>N/A</t>
  </si>
  <si>
    <t>Standard name: SITENAME SEL RTAC AXION RTU DNP POINTS LIST REV A</t>
  </si>
  <si>
    <t xml:space="preserve"> </t>
  </si>
  <si>
    <t>7/26/2017 Rev A - Created. Points List Rev B. ZBoatwright/BMcD</t>
  </si>
  <si>
    <t>02/21/2018  New DNP Points List Rev C. Upgraded to MPLS and converted from Harris to DNP. Config: HACHOS-E ZBoatwright/BMcD</t>
  </si>
  <si>
    <t>Standard name: SITENAME_RTAC2_REV_A_R139</t>
  </si>
  <si>
    <t>Standard name: East York ASE SPT CDC2 DNP Rev A</t>
  </si>
  <si>
    <t>Standard name: East York CDC 44-550 DNP RTU Points List Rev C</t>
  </si>
  <si>
    <t>Check EMS Dump</t>
  </si>
  <si>
    <t>Verify EMS dump matches points list</t>
  </si>
  <si>
    <t>Scan Group</t>
  </si>
  <si>
    <t>Master</t>
  </si>
  <si>
    <t>Slave</t>
  </si>
  <si>
    <t>Correct protocol?</t>
  </si>
  <si>
    <t>DNP?</t>
  </si>
  <si>
    <t>CDC, TRW, ect ?</t>
  </si>
  <si>
    <t>Correct serial port</t>
  </si>
  <si>
    <t>Example: Serial Port 1</t>
  </si>
  <si>
    <t>Example: Serial Port 3</t>
  </si>
  <si>
    <t>Correct Address</t>
  </si>
  <si>
    <t>Device 15727 : toEMS</t>
  </si>
  <si>
    <t>Default</t>
  </si>
  <si>
    <t>Baud rate</t>
  </si>
  <si>
    <t>Correct baud rate set?</t>
  </si>
  <si>
    <t>Points</t>
  </si>
  <si>
    <t>Points mapped 1:1</t>
  </si>
  <si>
    <t>Changes?</t>
  </si>
  <si>
    <t>DCAs</t>
  </si>
  <si>
    <t>Point Description</t>
  </si>
  <si>
    <t>Device Description (Address)</t>
  </si>
  <si>
    <t>Calculator DTA</t>
  </si>
  <si>
    <t>Devices</t>
  </si>
  <si>
    <t>= 0</t>
  </si>
  <si>
    <t>DI's</t>
  </si>
  <si>
    <t>DO's</t>
  </si>
  <si>
    <t>AI's</t>
  </si>
  <si>
    <t>DV's</t>
  </si>
  <si>
    <t>Use table below - correct DI points?</t>
  </si>
  <si>
    <t>Use table below - correct DO points?</t>
  </si>
  <si>
    <t>Use table below - correct AI points?</t>
  </si>
  <si>
    <t>Use table below - correct DV points?</t>
  </si>
  <si>
    <t>Number of Satecs:</t>
  </si>
  <si>
    <t>DCA 1:</t>
  </si>
  <si>
    <t>DCA 2:</t>
  </si>
  <si>
    <t>Number of Other:</t>
  </si>
  <si>
    <t>Number of Bitronics:</t>
  </si>
  <si>
    <t>DI</t>
  </si>
  <si>
    <t>DO</t>
  </si>
  <si>
    <t>DV</t>
  </si>
  <si>
    <t>Others AI Points/Device:</t>
  </si>
  <si>
    <t>Total:</t>
  </si>
  <si>
    <t>DCA 3:</t>
  </si>
  <si>
    <t>DCA 4:</t>
  </si>
  <si>
    <t>DCA 5:</t>
  </si>
  <si>
    <t>Row = 15</t>
  </si>
  <si>
    <t>Updated table as needed</t>
  </si>
  <si>
    <t>refer to example below</t>
  </si>
  <si>
    <t>|| symbol - not capitol i or lower case L</t>
  </si>
  <si>
    <t>DPA Points</t>
  </si>
  <si>
    <t>DPA/Master Addresses</t>
  </si>
  <si>
    <t>Correct addresses?</t>
  </si>
  <si>
    <t>Ensure correct/all points are mapped</t>
  </si>
  <si>
    <t>Local/Remote (table)</t>
  </si>
  <si>
    <t>DCA Configuration</t>
  </si>
  <si>
    <t>Devices Mapped</t>
  </si>
  <si>
    <t>Are the correct devices mapped?</t>
  </si>
  <si>
    <t>Addresses</t>
  </si>
  <si>
    <t>Correct DCA Index/DCA Address?</t>
  </si>
  <si>
    <t>Points List/Config</t>
  </si>
  <si>
    <t>Verify Points List matches the configration file</t>
  </si>
  <si>
    <t>Port Configuration</t>
  </si>
  <si>
    <t>Reset Link on Rx Nack</t>
  </si>
  <si>
    <t>Commuications type?</t>
  </si>
  <si>
    <t>4-Wire</t>
  </si>
  <si>
    <t>Baud</t>
  </si>
  <si>
    <t>Correct Baud Rate?</t>
  </si>
  <si>
    <t>CDMA/MPLS or 4-Wire</t>
  </si>
  <si>
    <t>Is it an AXION RTAC RTU?</t>
  </si>
  <si>
    <t>Check U Drive Files</t>
  </si>
  <si>
    <t>Port Lan A Enabled?</t>
  </si>
  <si>
    <t>D20MX devices need Lan A enabled</t>
  </si>
  <si>
    <t>NMAP Test Needed</t>
  </si>
  <si>
    <t>Error Log Screenshot</t>
  </si>
  <si>
    <t>DRMCC_RE97_27_DNP</t>
  </si>
  <si>
    <t>HV_WINDING_TEMP</t>
  </si>
  <si>
    <t>XV_WINDING_TEMP</t>
  </si>
  <si>
    <t>XV_LOAD_CURRENT</t>
  </si>
  <si>
    <t>GROUP_A_FAN_AMPS</t>
  </si>
  <si>
    <t>GROUP_B_FAN_AMPS</t>
  </si>
  <si>
    <t>AMBIENT_TEMPERATURE</t>
  </si>
  <si>
    <t>TOP_OIL_TEMPERATURE</t>
  </si>
  <si>
    <t>INCON_TAP_POSITION_SENSOR</t>
  </si>
  <si>
    <t>HV_LOAD_CURRENT</t>
  </si>
  <si>
    <t>LTC_OIL_TEMPERATURE</t>
  </si>
  <si>
    <t>BOTTOM_OIL_TEMP</t>
  </si>
  <si>
    <t>MAIN_TANK_TEMP</t>
  </si>
  <si>
    <t>LTC_DIFF_TEMPERATURE</t>
  </si>
  <si>
    <t>AI_00000_I_a</t>
  </si>
  <si>
    <t>TAP_POSITION</t>
  </si>
  <si>
    <t>AI_00001_I_b</t>
  </si>
  <si>
    <t>LAST_SAVE_H2_CONCENTRATION</t>
  </si>
  <si>
    <t>AI_00002_I_c</t>
  </si>
  <si>
    <t>ACTUAL_CONTINUOUS_HYDROGEN_READING</t>
  </si>
  <si>
    <t>AI_00003_I_avg</t>
  </si>
  <si>
    <t>ACTUAL_CALCULATED_WATER_SATURATION</t>
  </si>
  <si>
    <t>AI_00004_kV_a</t>
  </si>
  <si>
    <t>ACTUAL_CALCULATED_WATER_CONCENTRATION_PPM</t>
  </si>
  <si>
    <t>AI_00005_kV_b</t>
  </si>
  <si>
    <t>ACTUAL_CALCULATE_WATER_SATURATION_IN_XFMR</t>
  </si>
  <si>
    <t>AI_00006_kV_C</t>
  </si>
  <si>
    <t>XFMR_OIL_TEMPERATURE</t>
  </si>
  <si>
    <t>AI_00007_kV_avg</t>
  </si>
  <si>
    <t>LAST_SAVED_CARBON_MONOXIDE_CONCENTRATION</t>
  </si>
  <si>
    <t>AI_00008_MW_tot_cor</t>
  </si>
  <si>
    <t>HYDROGEN_TREND</t>
  </si>
  <si>
    <t>AI_00009_MX_tot_cor</t>
  </si>
  <si>
    <t>CARBON_MONOXIDE_TREND</t>
  </si>
  <si>
    <t>AI_00010_MW_tot_uc</t>
  </si>
  <si>
    <t>MOISTURE_IN_OIL_TREND</t>
  </si>
  <si>
    <t>AI_00011_MX_tot_uc</t>
  </si>
  <si>
    <t>AI_00012_freq</t>
  </si>
  <si>
    <t>XV_VOLTAGE</t>
  </si>
  <si>
    <t>AI_00013_3VOmag</t>
  </si>
  <si>
    <t>MONTH_FROM_DRMCC</t>
  </si>
  <si>
    <t>DAY_FROM_DRMCC</t>
  </si>
  <si>
    <t>YEAR_FROM_DRMCC</t>
  </si>
  <si>
    <t>HOUR_FROM_DRMCC</t>
  </si>
  <si>
    <t>MINUTE_FROM_DRMCC</t>
  </si>
  <si>
    <t>MONTH_OF_LAST_MEASUREMENT</t>
  </si>
  <si>
    <t>DAY_OF_LAST_MEASUREMENT</t>
  </si>
  <si>
    <t>YEAR_OF_LAST_MEASUREMENT</t>
  </si>
  <si>
    <t>HOUR_OF_LAST_MEASUREMENT</t>
  </si>
  <si>
    <t>MINUTE_OF_LAST_MEASUREMENT</t>
  </si>
  <si>
    <t>OIL_TEMP_AT_TIME_OF_MEASUREMENT</t>
  </si>
  <si>
    <t>DEVICE_MEASURING_ERROR</t>
  </si>
  <si>
    <t>DEVICE_ALARM_STATUS</t>
  </si>
  <si>
    <t>SET_1_DIS_EN</t>
  </si>
  <si>
    <t>SET_2_DIS_EN</t>
  </si>
  <si>
    <t>SET_1_ALARM_ON_CURRENT_IMBALANCE_MAGNITUDE</t>
  </si>
  <si>
    <t>SET_2_ALARM_ON_CURRENT_IMBALANCE_MAGNITUDE</t>
  </si>
  <si>
    <t>SET_1_SUM_CURRENT_IMBALANCE</t>
  </si>
  <si>
    <t>SET_2_SUM_CURRENT_IMBALANCE</t>
  </si>
  <si>
    <t>SET_1_VECTOR_IMBALANCE</t>
  </si>
  <si>
    <t>SET_2_VECTOR_IMBALANCE</t>
  </si>
  <si>
    <t>SET_1_SUM_CURRENT_TREND</t>
  </si>
  <si>
    <t>SET_2_SUM_CURRENT_TREND</t>
  </si>
  <si>
    <t>SET_1_MAGNITUDE_TEMP_DEP</t>
  </si>
  <si>
    <t>SET_2_MAGNITUDE_TEMP_DEP</t>
  </si>
  <si>
    <t>SET_1_VECTOR_TEMP_DEP</t>
  </si>
  <si>
    <t>SET_2_VECTOR_TEMP_DEP</t>
  </si>
  <si>
    <t>SET_1_BUSH_1_POWER_FACTOR</t>
  </si>
  <si>
    <t>SET_1_BUSH_1_CAPACITANCE</t>
  </si>
  <si>
    <t>SET_1_BUSH_2_POWER_FACTOR</t>
  </si>
  <si>
    <t>SET_1_BUSH_2_CAPACITANCE</t>
  </si>
  <si>
    <t>SET_1_BUSH_3_POWER_FACTOR</t>
  </si>
  <si>
    <t>SET_1_BUSH_3_CAPACITANCE</t>
  </si>
  <si>
    <t>SET_2_BUSH_1_POWER_FACTOR</t>
  </si>
  <si>
    <t>SET_2_BUSH_1_CAPACITANCE</t>
  </si>
  <si>
    <t>SET_2_BUSH_2_POWER_FACTOR</t>
  </si>
  <si>
    <t>SET_2_BUSH_2_CAPACITANCE</t>
  </si>
  <si>
    <t>SET_2_BUSH_3_POWER_FACTOR</t>
  </si>
  <si>
    <t>SET_2_BUSH_3_CAPACITANCE</t>
  </si>
  <si>
    <t>MIDDLE_OIL_TEMPERATURE</t>
  </si>
  <si>
    <t>H0X0_PHASE_LOAD_CURRENT</t>
  </si>
  <si>
    <t>COOLER_GROUP_CURRENT</t>
  </si>
  <si>
    <t>Alexander Shafer</t>
  </si>
  <si>
    <t>Any conflicts on revisions?</t>
  </si>
  <si>
    <t>CDC Type 2</t>
  </si>
  <si>
    <t>Serial Port 3</t>
  </si>
  <si>
    <t>Serial Port 1</t>
  </si>
  <si>
    <t>Correct number-points mapped</t>
  </si>
  <si>
    <t>Example: Device 2 : East_York_CDC_8890</t>
  </si>
  <si>
    <t>Set to 1</t>
  </si>
  <si>
    <t>PostTransmission Delay</t>
  </si>
  <si>
    <t>Set to Display Only</t>
  </si>
  <si>
    <t>Analog Input Scaling</t>
  </si>
  <si>
    <t>Both Set to False</t>
  </si>
  <si>
    <t>Serial Port RX and TX</t>
  </si>
  <si>
    <t>Correct baud rate set? (typically 9600)</t>
  </si>
  <si>
    <t>Computer Clock</t>
  </si>
  <si>
    <t>Correct timesource?</t>
  </si>
  <si>
    <t>SPT</t>
  </si>
  <si>
    <t>Display Only</t>
  </si>
  <si>
    <t>Good</t>
  </si>
  <si>
    <t>y</t>
  </si>
  <si>
    <t>Andover</t>
  </si>
  <si>
    <t>ANDOVR ASE SPT CDC2 DNP Rev A</t>
  </si>
  <si>
    <t>ANDOVER 44550-1 DNP RTU POINTS LIST REVISION B</t>
  </si>
  <si>
    <t>Device 10186 : toEMS</t>
  </si>
  <si>
    <t>Device 3:ANDOVER CDC 44550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</si>
</sst>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203">
    <xf numFmtId="0" fontId="0" fillId="0" borderId="0" xfId="0"/>
    <xf numFmtId="0" fontId="0" fillId="0" borderId="0" xfId="0" applyNumberFormat="1" applyAlignment="1">
      <alignment horizontal="left"/>
    </xf>
    <xf numFmtId="0" fontId="0" fillId="0" borderId="0" xfId="0" applyFill="1"/>
    <xf numFmtId="0" fontId="3" fillId="0" borderId="0" xfId="0" applyFont="1"/>
    <xf numFmtId="0" fontId="1" fillId="0" borderId="1" xfId="0" applyFont="1" applyFill="1" applyBorder="1" applyAlignment="1">
      <alignment horizontal="center"/>
    </xf>
    <xf numFmtId="164" fontId="0" fillId="0" borderId="1" xfId="0" applyNumberForma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0" borderId="0" xfId="0" applyBorder="1"/>
    <xf numFmtId="0" fontId="0" fillId="2" borderId="0" xfId="0" applyFill="1" applyBorder="1"/>
    <xf numFmtId="0" fontId="0" fillId="2" borderId="0" xfId="0" applyNumberFormat="1" applyFill="1" applyBorder="1" applyAlignment="1">
      <alignment horizontal="left"/>
    </xf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8" xfId="0" applyNumberFormat="1" applyFill="1" applyBorder="1" applyAlignment="1">
      <alignment horizontal="left"/>
    </xf>
    <xf numFmtId="0" fontId="0" fillId="2" borderId="9" xfId="0" applyFill="1" applyBorder="1"/>
    <xf numFmtId="0" fontId="1" fillId="2" borderId="3" xfId="0" applyNumberFormat="1" applyFont="1" applyFill="1" applyBorder="1" applyAlignment="1">
      <alignment horizontal="center"/>
    </xf>
    <xf numFmtId="0" fontId="2" fillId="2" borderId="0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12" xfId="0" applyFont="1" applyBorder="1"/>
    <xf numFmtId="0" fontId="0" fillId="0" borderId="11" xfId="0" applyBorder="1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1" xfId="0" applyBorder="1" applyAlignment="1">
      <alignment horizontal="left" vertical="center" indent="1"/>
    </xf>
    <xf numFmtId="0" fontId="1" fillId="2" borderId="0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center" vertical="center"/>
    </xf>
    <xf numFmtId="0" fontId="0" fillId="2" borderId="0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left"/>
    </xf>
    <xf numFmtId="0" fontId="0" fillId="2" borderId="0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0" fontId="1" fillId="0" borderId="12" xfId="0" applyFont="1" applyBorder="1" applyAlignment="1">
      <alignment horizontal="left"/>
    </xf>
    <xf numFmtId="0" fontId="1" fillId="0" borderId="12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2" borderId="8" xfId="0" applyFill="1" applyBorder="1" applyAlignment="1">
      <alignment horizontal="center"/>
    </xf>
    <xf numFmtId="0" fontId="4" fillId="0" borderId="11" xfId="0" applyFont="1" applyBorder="1" applyAlignment="1">
      <alignment horizontal="left" indent="1"/>
    </xf>
    <xf numFmtId="0" fontId="0" fillId="0" borderId="11" xfId="0" quotePrefix="1" applyBorder="1" applyAlignment="1">
      <alignment horizontal="left" indent="1"/>
    </xf>
    <xf numFmtId="0" fontId="5" fillId="2" borderId="2" xfId="0" applyFont="1" applyFill="1" applyBorder="1"/>
    <xf numFmtId="0" fontId="5" fillId="2" borderId="3" xfId="0" applyFont="1" applyFill="1" applyBorder="1"/>
    <xf numFmtId="0" fontId="6" fillId="2" borderId="3" xfId="0" applyNumberFormat="1" applyFont="1" applyFill="1" applyBorder="1" applyAlignment="1">
      <alignment horizontal="center"/>
    </xf>
    <xf numFmtId="0" fontId="5" fillId="2" borderId="4" xfId="0" applyFont="1" applyFill="1" applyBorder="1"/>
    <xf numFmtId="0" fontId="5" fillId="0" borderId="0" xfId="0" applyFont="1"/>
    <xf numFmtId="0" fontId="5" fillId="2" borderId="5" xfId="0" applyFont="1" applyFill="1" applyBorder="1"/>
    <xf numFmtId="0" fontId="5" fillId="2" borderId="0" xfId="0" applyFont="1" applyFill="1" applyBorder="1"/>
    <xf numFmtId="0" fontId="5" fillId="2" borderId="6" xfId="0" applyFont="1" applyFill="1" applyBorder="1"/>
    <xf numFmtId="0" fontId="5" fillId="0" borderId="11" xfId="0" applyFont="1" applyBorder="1" applyAlignment="1">
      <alignment horizontal="left" indent="1"/>
    </xf>
    <xf numFmtId="0" fontId="7" fillId="0" borderId="0" xfId="0" applyFont="1"/>
    <xf numFmtId="0" fontId="5" fillId="2" borderId="7" xfId="0" applyFont="1" applyFill="1" applyBorder="1"/>
    <xf numFmtId="0" fontId="5" fillId="2" borderId="8" xfId="0" applyFont="1" applyFill="1" applyBorder="1"/>
    <xf numFmtId="0" fontId="5" fillId="2" borderId="8" xfId="0" applyNumberFormat="1" applyFont="1" applyFill="1" applyBorder="1" applyAlignment="1">
      <alignment horizontal="left"/>
    </xf>
    <xf numFmtId="0" fontId="5" fillId="2" borderId="9" xfId="0" applyFont="1" applyFill="1" applyBorder="1"/>
    <xf numFmtId="0" fontId="5" fillId="0" borderId="0" xfId="0" applyFont="1" applyFill="1"/>
    <xf numFmtId="0" fontId="5" fillId="0" borderId="0" xfId="0" applyNumberFormat="1" applyFont="1" applyAlignment="1">
      <alignment horizontal="left"/>
    </xf>
    <xf numFmtId="0" fontId="5" fillId="0" borderId="0" xfId="0" applyFont="1" applyBorder="1"/>
    <xf numFmtId="0" fontId="0" fillId="0" borderId="11" xfId="0" applyFont="1" applyBorder="1" applyAlignment="1">
      <alignment horizontal="left" indent="2"/>
    </xf>
    <xf numFmtId="0" fontId="0" fillId="0" borderId="11" xfId="0" applyFont="1" applyBorder="1" applyAlignment="1">
      <alignment horizontal="left" indent="1"/>
    </xf>
    <xf numFmtId="0" fontId="0" fillId="0" borderId="13" xfId="0" applyFont="1" applyBorder="1" applyAlignment="1">
      <alignment horizontal="left" indent="1"/>
    </xf>
    <xf numFmtId="0" fontId="0" fillId="0" borderId="13" xfId="0" applyBorder="1" applyAlignment="1">
      <alignment horizontal="left" vertical="center" indent="1"/>
    </xf>
    <xf numFmtId="0" fontId="2" fillId="0" borderId="1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0" fillId="0" borderId="1" xfId="0" quotePrefix="1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0" fontId="0" fillId="0" borderId="13" xfId="0" applyFont="1" applyBorder="1" applyAlignment="1">
      <alignment horizontal="left" indent="2"/>
    </xf>
    <xf numFmtId="0" fontId="0" fillId="0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1" fillId="0" borderId="11" xfId="0" applyFont="1" applyBorder="1"/>
    <xf numFmtId="0" fontId="9" fillId="2" borderId="2" xfId="0" applyFont="1" applyFill="1" applyBorder="1"/>
    <xf numFmtId="0" fontId="9" fillId="2" borderId="3" xfId="0" applyFont="1" applyFill="1" applyBorder="1"/>
    <xf numFmtId="0" fontId="9" fillId="2" borderId="0" xfId="0" applyFont="1" applyFill="1" applyBorder="1" applyAlignment="1">
      <alignment horizontal="center"/>
    </xf>
    <xf numFmtId="0" fontId="10" fillId="2" borderId="0" xfId="0" applyNumberFormat="1" applyFont="1" applyFill="1" applyBorder="1" applyAlignment="1">
      <alignment horizontal="center"/>
    </xf>
    <xf numFmtId="0" fontId="10" fillId="2" borderId="0" xfId="0" applyNumberFormat="1" applyFont="1" applyFill="1" applyBorder="1" applyAlignment="1">
      <alignment horizontal="center" vertical="center"/>
    </xf>
    <xf numFmtId="0" fontId="9" fillId="2" borderId="4" xfId="0" applyFont="1" applyFill="1" applyBorder="1"/>
    <xf numFmtId="0" fontId="9" fillId="0" borderId="0" xfId="0" applyFont="1"/>
    <xf numFmtId="0" fontId="9" fillId="2" borderId="5" xfId="0" applyFont="1" applyFill="1" applyBorder="1"/>
    <xf numFmtId="0" fontId="10" fillId="0" borderId="12" xfId="0" applyFont="1" applyBorder="1"/>
    <xf numFmtId="49" fontId="9" fillId="2" borderId="0" xfId="0" applyNumberFormat="1" applyFont="1" applyFill="1" applyBorder="1"/>
    <xf numFmtId="0" fontId="11" fillId="2" borderId="0" xfId="0" applyNumberFormat="1" applyFont="1" applyFill="1" applyBorder="1" applyAlignment="1">
      <alignment horizontal="center"/>
    </xf>
    <xf numFmtId="0" fontId="9" fillId="2" borderId="0" xfId="0" applyFont="1" applyFill="1" applyBorder="1"/>
    <xf numFmtId="49" fontId="11" fillId="2" borderId="0" xfId="0" applyNumberFormat="1" applyFont="1" applyFill="1" applyBorder="1" applyAlignment="1">
      <alignment horizontal="center" vertical="center"/>
    </xf>
    <xf numFmtId="0" fontId="9" fillId="2" borderId="6" xfId="0" applyFont="1" applyFill="1" applyBorder="1"/>
    <xf numFmtId="0" fontId="9" fillId="0" borderId="11" xfId="0" applyFont="1" applyBorder="1" applyAlignment="1">
      <alignment horizontal="left" indent="1"/>
    </xf>
    <xf numFmtId="0" fontId="9" fillId="0" borderId="1" xfId="0" applyNumberFormat="1" applyFont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14" fontId="9" fillId="0" borderId="1" xfId="0" applyNumberFormat="1" applyFont="1" applyBorder="1" applyAlignment="1">
      <alignment horizontal="center" vertical="center"/>
    </xf>
    <xf numFmtId="0" fontId="9" fillId="0" borderId="1" xfId="0" applyNumberFormat="1" applyFont="1" applyFill="1" applyBorder="1" applyAlignment="1">
      <alignment horizontal="center" vertical="center" wrapText="1"/>
    </xf>
    <xf numFmtId="0" fontId="9" fillId="2" borderId="7" xfId="0" applyFont="1" applyFill="1" applyBorder="1"/>
    <xf numFmtId="0" fontId="9" fillId="2" borderId="8" xfId="0" applyFont="1" applyFill="1" applyBorder="1"/>
    <xf numFmtId="0" fontId="9" fillId="2" borderId="8" xfId="0" applyNumberFormat="1" applyFont="1" applyFill="1" applyBorder="1"/>
    <xf numFmtId="0" fontId="9" fillId="2" borderId="8" xfId="0" applyNumberFormat="1" applyFont="1" applyFill="1" applyBorder="1" applyAlignment="1">
      <alignment horizontal="center" vertical="center"/>
    </xf>
    <xf numFmtId="0" fontId="9" fillId="2" borderId="9" xfId="0" applyFont="1" applyFill="1" applyBorder="1"/>
    <xf numFmtId="0" fontId="9" fillId="0" borderId="0" xfId="0" applyNumberFormat="1" applyFont="1"/>
    <xf numFmtId="0" fontId="9" fillId="0" borderId="0" xfId="0" applyNumberFormat="1" applyFont="1" applyAlignment="1">
      <alignment horizontal="center" vertical="center"/>
    </xf>
    <xf numFmtId="0" fontId="12" fillId="0" borderId="0" xfId="0" applyFont="1"/>
    <xf numFmtId="0" fontId="3" fillId="0" borderId="0" xfId="0" applyFont="1" applyFill="1"/>
    <xf numFmtId="0" fontId="0" fillId="2" borderId="1" xfId="0" applyFont="1" applyFill="1" applyBorder="1" applyAlignment="1">
      <alignment horizontal="center" vertical="center"/>
    </xf>
    <xf numFmtId="0" fontId="0" fillId="0" borderId="1" xfId="0" applyNumberFormat="1" applyFont="1" applyBorder="1" applyAlignment="1">
      <alignment horizontal="center" vertical="center"/>
    </xf>
    <xf numFmtId="0" fontId="0" fillId="0" borderId="1" xfId="0" applyNumberFormat="1" applyFont="1" applyBorder="1" applyAlignment="1">
      <alignment horizontal="center" vertical="center" wrapText="1"/>
    </xf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3" fillId="0" borderId="0" xfId="0" applyFont="1" applyAlignment="1">
      <alignment vertical="center"/>
    </xf>
    <xf numFmtId="0" fontId="0" fillId="0" borderId="11" xfId="0" applyFont="1" applyFill="1" applyBorder="1" applyAlignment="1">
      <alignment horizontal="left" indent="1"/>
    </xf>
    <xf numFmtId="0" fontId="0" fillId="2" borderId="1" xfId="0" applyFill="1" applyBorder="1" applyAlignment="1">
      <alignment vertical="center" wrapText="1"/>
    </xf>
    <xf numFmtId="0" fontId="1" fillId="0" borderId="12" xfId="0" applyFont="1" applyFill="1" applyBorder="1" applyAlignment="1">
      <alignment horizontal="left" vertical="top"/>
    </xf>
    <xf numFmtId="0" fontId="0" fillId="2" borderId="1" xfId="0" applyFill="1" applyBorder="1" applyAlignment="1">
      <alignment horizontal="center" vertical="center" wrapText="1"/>
    </xf>
    <xf numFmtId="0" fontId="0" fillId="2" borderId="3" xfId="0" applyFill="1" applyBorder="1" applyAlignment="1">
      <alignment vertical="center" wrapText="1"/>
    </xf>
    <xf numFmtId="0" fontId="0" fillId="2" borderId="1" xfId="0" applyFill="1" applyBorder="1" applyAlignment="1">
      <alignment horizontal="center" wrapText="1"/>
    </xf>
    <xf numFmtId="0" fontId="0" fillId="0" borderId="13" xfId="0" applyBorder="1" applyAlignment="1">
      <alignment horizontal="left" indent="2"/>
    </xf>
    <xf numFmtId="0" fontId="1" fillId="0" borderId="11" xfId="0" applyFont="1" applyBorder="1" applyAlignment="1">
      <alignment horizontal="left"/>
    </xf>
    <xf numFmtId="0" fontId="0" fillId="0" borderId="11" xfId="0" applyFill="1" applyBorder="1" applyAlignment="1">
      <alignment horizontal="left" indent="2"/>
    </xf>
    <xf numFmtId="0" fontId="4" fillId="0" borderId="11" xfId="0" applyFont="1" applyFill="1" applyBorder="1" applyAlignment="1">
      <alignment horizontal="left" indent="1"/>
    </xf>
    <xf numFmtId="0" fontId="0" fillId="2" borderId="3" xfId="0" applyFill="1" applyBorder="1" applyAlignment="1">
      <alignment horizontal="center" vertical="center"/>
    </xf>
    <xf numFmtId="0" fontId="0" fillId="0" borderId="11" xfId="0" applyBorder="1" applyAlignment="1">
      <alignment horizontal="left" indent="2"/>
    </xf>
    <xf numFmtId="49" fontId="0" fillId="0" borderId="1" xfId="0" applyNumberFormat="1" applyFont="1" applyFill="1" applyBorder="1" applyAlignment="1">
      <alignment horizontal="center" vertical="center"/>
    </xf>
    <xf numFmtId="0" fontId="5" fillId="0" borderId="13" xfId="0" applyFont="1" applyBorder="1" applyAlignment="1">
      <alignment horizontal="left" indent="3"/>
    </xf>
    <xf numFmtId="0" fontId="0" fillId="0" borderId="11" xfId="0" applyFont="1" applyBorder="1" applyAlignment="1">
      <alignment horizontal="left" indent="3"/>
    </xf>
    <xf numFmtId="0" fontId="5" fillId="0" borderId="11" xfId="0" applyFont="1" applyBorder="1" applyAlignment="1">
      <alignment horizontal="left" indent="3"/>
    </xf>
    <xf numFmtId="0" fontId="5" fillId="2" borderId="3" xfId="0" applyFont="1" applyFill="1" applyBorder="1" applyAlignment="1">
      <alignment horizontal="center" vertical="center"/>
    </xf>
    <xf numFmtId="0" fontId="5" fillId="2" borderId="0" xfId="0" applyNumberFormat="1" applyFont="1" applyFill="1" applyBorder="1" applyAlignment="1">
      <alignment horizontal="center" vertical="center"/>
    </xf>
    <xf numFmtId="0" fontId="4" fillId="0" borderId="11" xfId="0" applyFont="1" applyBorder="1" applyAlignment="1">
      <alignment horizontal="left" indent="2"/>
    </xf>
    <xf numFmtId="0" fontId="5" fillId="2" borderId="0" xfId="0" applyFont="1" applyFill="1" applyBorder="1" applyAlignment="1">
      <alignment vertical="center"/>
    </xf>
    <xf numFmtId="0" fontId="5" fillId="0" borderId="11" xfId="0" applyFont="1" applyBorder="1" applyAlignment="1">
      <alignment horizontal="left" vertical="center" indent="3"/>
    </xf>
    <xf numFmtId="0" fontId="1" fillId="0" borderId="11" xfId="0" applyFont="1" applyBorder="1" applyAlignment="1">
      <alignment horizontal="left" indent="1"/>
    </xf>
    <xf numFmtId="0" fontId="1" fillId="0" borderId="12" xfId="0" applyFont="1" applyFill="1" applyBorder="1"/>
    <xf numFmtId="0" fontId="5" fillId="0" borderId="13" xfId="0" applyFont="1" applyBorder="1" applyAlignment="1">
      <alignment horizontal="left" indent="1"/>
    </xf>
    <xf numFmtId="49" fontId="2" fillId="2" borderId="0" xfId="0" applyNumberFormat="1" applyFont="1" applyFill="1" applyBorder="1" applyAlignment="1">
      <alignment horizontal="center"/>
    </xf>
    <xf numFmtId="0" fontId="0" fillId="2" borderId="1" xfId="0" applyNumberFormat="1" applyFill="1" applyBorder="1" applyAlignment="1">
      <alignment horizontal="center" vertical="center"/>
    </xf>
    <xf numFmtId="0" fontId="1" fillId="0" borderId="11" xfId="0" applyFont="1" applyFill="1" applyBorder="1" applyAlignment="1">
      <alignment horizontal="left" indent="1"/>
    </xf>
    <xf numFmtId="0" fontId="1" fillId="0" borderId="11" xfId="0" applyFont="1" applyFill="1" applyBorder="1"/>
    <xf numFmtId="0" fontId="0" fillId="2" borderId="1" xfId="0" quotePrefix="1" applyFill="1" applyBorder="1" applyAlignment="1">
      <alignment horizontal="center" vertical="center" wrapText="1"/>
    </xf>
    <xf numFmtId="0" fontId="0" fillId="0" borderId="11" xfId="0" applyFill="1" applyBorder="1" applyAlignment="1">
      <alignment horizontal="left" indent="1"/>
    </xf>
    <xf numFmtId="0" fontId="5" fillId="0" borderId="0" xfId="0" applyNumberFormat="1" applyFont="1" applyAlignment="1">
      <alignment horizontal="center" vertical="center"/>
    </xf>
    <xf numFmtId="0" fontId="5" fillId="0" borderId="0" xfId="0" applyNumberFormat="1" applyFont="1"/>
    <xf numFmtId="0" fontId="5" fillId="2" borderId="8" xfId="0" applyNumberFormat="1" applyFont="1" applyFill="1" applyBorder="1" applyAlignment="1">
      <alignment horizontal="center" vertical="center"/>
    </xf>
    <xf numFmtId="0" fontId="5" fillId="2" borderId="8" xfId="0" applyNumberFormat="1" applyFont="1" applyFill="1" applyBorder="1"/>
    <xf numFmtId="0" fontId="5" fillId="2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NumberFormat="1" applyFont="1" applyBorder="1" applyAlignment="1">
      <alignment horizontal="center" vertical="center"/>
    </xf>
    <xf numFmtId="0" fontId="5" fillId="0" borderId="13" xfId="0" applyFont="1" applyBorder="1" applyAlignment="1">
      <alignment horizontal="left" indent="2"/>
    </xf>
    <xf numFmtId="0" fontId="5" fillId="0" borderId="11" xfId="0" applyFont="1" applyBorder="1" applyAlignment="1">
      <alignment horizontal="left" indent="2"/>
    </xf>
    <xf numFmtId="0" fontId="5" fillId="2" borderId="11" xfId="0" applyFont="1" applyFill="1" applyBorder="1" applyAlignment="1">
      <alignment horizontal="center" vertical="center"/>
    </xf>
    <xf numFmtId="0" fontId="14" fillId="2" borderId="1" xfId="0" applyNumberFormat="1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 wrapText="1"/>
    </xf>
    <xf numFmtId="0" fontId="5" fillId="0" borderId="11" xfId="0" applyFont="1" applyBorder="1" applyAlignment="1">
      <alignment horizontal="left" vertical="center" indent="1"/>
    </xf>
    <xf numFmtId="0" fontId="0" fillId="2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49" fontId="5" fillId="2" borderId="0" xfId="0" applyNumberFormat="1" applyFont="1" applyFill="1" applyBorder="1"/>
    <xf numFmtId="49" fontId="2" fillId="2" borderId="0" xfId="0" applyNumberFormat="1" applyFont="1" applyFill="1" applyBorder="1" applyAlignment="1">
      <alignment horizontal="center" vertical="center"/>
    </xf>
    <xf numFmtId="0" fontId="1" fillId="2" borderId="0" xfId="0" applyNumberFormat="1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 wrapText="1"/>
    </xf>
    <xf numFmtId="0" fontId="8" fillId="0" borderId="0" xfId="0" applyFont="1" applyFill="1"/>
    <xf numFmtId="0" fontId="1" fillId="0" borderId="11" xfId="0" applyFont="1" applyBorder="1" applyAlignment="1">
      <alignment horizontal="left" vertical="center" indent="1"/>
    </xf>
    <xf numFmtId="0" fontId="1" fillId="2" borderId="8" xfId="0" applyNumberFormat="1" applyFont="1" applyFill="1" applyBorder="1" applyAlignment="1">
      <alignment horizontal="center"/>
    </xf>
    <xf numFmtId="0" fontId="1" fillId="2" borderId="8" xfId="0" applyNumberFormat="1" applyFont="1" applyFill="1" applyBorder="1" applyAlignment="1">
      <alignment horizontal="center" vertical="center"/>
    </xf>
    <xf numFmtId="0" fontId="1" fillId="0" borderId="11" xfId="0" applyFont="1" applyFill="1" applyBorder="1" applyAlignment="1">
      <alignment horizontal="left"/>
    </xf>
    <xf numFmtId="0" fontId="0" fillId="2" borderId="16" xfId="0" applyFill="1" applyBorder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 wrapText="1"/>
    </xf>
    <xf numFmtId="0" fontId="0" fillId="2" borderId="10" xfId="0" applyFill="1" applyBorder="1" applyAlignment="1">
      <alignment vertical="center" wrapText="1"/>
    </xf>
    <xf numFmtId="0" fontId="2" fillId="3" borderId="14" xfId="0" applyNumberFormat="1" applyFont="1" applyFill="1" applyBorder="1" applyAlignment="1">
      <alignment horizontal="center" vertical="center"/>
    </xf>
    <xf numFmtId="0" fontId="0" fillId="2" borderId="10" xfId="0" applyFill="1" applyBorder="1"/>
    <xf numFmtId="0" fontId="2" fillId="2" borderId="8" xfId="0" applyNumberFormat="1" applyFont="1" applyFill="1" applyBorder="1" applyAlignment="1">
      <alignment horizontal="center"/>
    </xf>
    <xf numFmtId="0" fontId="1" fillId="0" borderId="12" xfId="0" applyFont="1" applyBorder="1" applyAlignment="1">
      <alignment horizontal="left" vertical="center"/>
    </xf>
    <xf numFmtId="0" fontId="5" fillId="2" borderId="0" xfId="0" applyNumberFormat="1" applyFont="1" applyFill="1" applyBorder="1" applyAlignment="1">
      <alignment horizontal="left"/>
    </xf>
    <xf numFmtId="0" fontId="0" fillId="0" borderId="1" xfId="0" quotePrefix="1" applyBorder="1" applyAlignment="1">
      <alignment horizontal="left" indent="1"/>
    </xf>
    <xf numFmtId="0" fontId="15" fillId="2" borderId="1" xfId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1" fillId="2" borderId="3" xfId="0" applyNumberFormat="1" applyFont="1" applyFill="1" applyBorder="1" applyAlignment="1">
      <alignment horizontal="center"/>
    </xf>
    <xf numFmtId="0" fontId="2" fillId="2" borderId="0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 vertical="center" wrapText="1"/>
    </xf>
    <xf numFmtId="0" fontId="13" fillId="2" borderId="0" xfId="0" applyFont="1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1" fillId="0" borderId="1" xfId="0" applyFont="1" applyBorder="1" applyAlignment="1">
      <alignment horizontal="left"/>
    </xf>
    <xf numFmtId="0" fontId="0" fillId="2" borderId="5" xfId="0" applyFill="1" applyBorder="1" applyAlignment="1">
      <alignment horizontal="left" vertical="center" indent="1"/>
    </xf>
    <xf numFmtId="0" fontId="2" fillId="4" borderId="1" xfId="0" applyNumberFormat="1" applyFont="1" applyFill="1" applyBorder="1" applyAlignment="1">
      <alignment horizontal="center"/>
    </xf>
    <xf numFmtId="0" fontId="0" fillId="4" borderId="1" xfId="0" applyNumberFormat="1" applyFont="1" applyFill="1" applyBorder="1" applyAlignment="1">
      <alignment horizontal="center"/>
    </xf>
    <xf numFmtId="0" fontId="0" fillId="0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5" xfId="0" applyFill="1" applyBorder="1" applyAlignment="1">
      <alignment horizontal="center" vertical="center" wrapText="1"/>
    </xf>
    <xf numFmtId="0" fontId="2" fillId="0" borderId="14" xfId="0" applyNumberFormat="1" applyFont="1" applyFill="1" applyBorder="1" applyAlignment="1">
      <alignment horizontal="center" vertical="center"/>
    </xf>
    <xf numFmtId="0" fontId="2" fillId="0" borderId="15" xfId="0" applyNumberFormat="1" applyFont="1" applyFill="1" applyBorder="1" applyAlignment="1">
      <alignment horizontal="center" vertical="center"/>
    </xf>
    <xf numFmtId="0" fontId="1" fillId="2" borderId="3" xfId="0" applyNumberFormat="1" applyFont="1" applyFill="1" applyBorder="1" applyAlignment="1">
      <alignment horizontal="center"/>
    </xf>
    <xf numFmtId="0" fontId="2" fillId="2" borderId="0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2">
    <dxf>
      <fill>
        <patternFill patternType="lightUp">
          <f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68580</xdr:colOff>
      <xdr:row>1</xdr:row>
      <xdr:rowOff>15240</xdr:rowOff>
    </xdr:from>
    <xdr:to>
      <xdr:col>25</xdr:col>
      <xdr:colOff>152400</xdr:colOff>
      <xdr:row>6</xdr:row>
      <xdr:rowOff>175260</xdr:rowOff>
    </xdr:to>
    <xdr:sp macro="[0]!UnhideTab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827520" y="198120"/>
          <a:ext cx="3253740" cy="10744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 b="1">
              <a:solidFill>
                <a:schemeClr val="lt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Maintenance</a:t>
          </a:r>
          <a:endParaRPr lang="en-US" sz="36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9</xdr:col>
      <xdr:colOff>68580</xdr:colOff>
      <xdr:row>8</xdr:row>
      <xdr:rowOff>38100</xdr:rowOff>
    </xdr:from>
    <xdr:to>
      <xdr:col>25</xdr:col>
      <xdr:colOff>152400</xdr:colOff>
      <xdr:row>14</xdr:row>
      <xdr:rowOff>15240</xdr:rowOff>
    </xdr:to>
    <xdr:sp macro="[0]!DoneHideSheet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827520" y="1501140"/>
          <a:ext cx="3253740" cy="10744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 b="1">
              <a:solidFill>
                <a:schemeClr val="lt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DONE</a:t>
          </a:r>
          <a:endParaRPr lang="en-US" sz="36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400050</xdr:colOff>
      <xdr:row>7</xdr:row>
      <xdr:rowOff>66675</xdr:rowOff>
    </xdr:from>
    <xdr:to>
      <xdr:col>7</xdr:col>
      <xdr:colOff>2332935</xdr:colOff>
      <xdr:row>17</xdr:row>
      <xdr:rowOff>152400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1400175"/>
          <a:ext cx="8371785" cy="1990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685800</xdr:colOff>
      <xdr:row>10</xdr:row>
      <xdr:rowOff>83820</xdr:rowOff>
    </xdr:from>
    <xdr:to>
      <xdr:col>7</xdr:col>
      <xdr:colOff>1029395</xdr:colOff>
      <xdr:row>20</xdr:row>
      <xdr:rowOff>23013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3920" y="2644140"/>
          <a:ext cx="8016935" cy="176799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1047750</xdr:colOff>
      <xdr:row>6</xdr:row>
      <xdr:rowOff>171450</xdr:rowOff>
    </xdr:from>
    <xdr:to>
      <xdr:col>7</xdr:col>
      <xdr:colOff>1838325</xdr:colOff>
      <xdr:row>10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0" y="1314450"/>
          <a:ext cx="81343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Clients\TND\FirstEnr\82568_EtfScadaSupprt\QC\Design\Q4\Pierce%20Brook%20-%20PN\20180420%20-%20345kV%20Shunt%20Reactor\FE%20RTAC%20QC%20Checklist%20Rev%20S%20RTAC1%20RTU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Rev"/>
      <sheetName val="General"/>
      <sheetName val="Client Devices"/>
      <sheetName val="Client - DNP"/>
      <sheetName val="Client - SEL"/>
      <sheetName val="Server Devices"/>
      <sheetName val="User Logic"/>
      <sheetName val="DNP Map"/>
      <sheetName val="Axion"/>
      <sheetName val="Access Point"/>
      <sheetName val="Tag Processor"/>
      <sheetName val="Sheet1"/>
      <sheetName val="Tag Builder"/>
      <sheetName val="Dropdow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LAN%20WESMAINT%20Port%20Procedure%203%2021%202015%20updated.docx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53"/>
  <sheetViews>
    <sheetView zoomScaleNormal="100" zoomScaleSheetLayoutView="100" workbookViewId="0"/>
  </sheetViews>
  <sheetFormatPr defaultColWidth="2.88671875" defaultRowHeight="14.4" x14ac:dyDescent="0.3"/>
  <cols>
    <col min="2" max="2" width="9.6640625" bestFit="1" customWidth="1"/>
    <col min="3" max="3" width="4.44140625" bestFit="1" customWidth="1"/>
    <col min="4" max="4" width="49.6640625" customWidth="1"/>
    <col min="5" max="5" width="20.33203125" bestFit="1" customWidth="1"/>
  </cols>
  <sheetData>
    <row r="1" spans="1:6" x14ac:dyDescent="0.3">
      <c r="A1" s="8"/>
      <c r="B1" s="9"/>
      <c r="C1" s="9"/>
      <c r="D1" s="9"/>
      <c r="E1" s="9"/>
      <c r="F1" s="10"/>
    </row>
    <row r="2" spans="1:6" x14ac:dyDescent="0.3">
      <c r="A2" s="11"/>
      <c r="B2" s="4" t="s">
        <v>26</v>
      </c>
      <c r="C2" s="4" t="s">
        <v>24</v>
      </c>
      <c r="D2" s="4" t="s">
        <v>25</v>
      </c>
      <c r="E2" s="4" t="s">
        <v>28</v>
      </c>
      <c r="F2" s="15"/>
    </row>
    <row r="3" spans="1:6" x14ac:dyDescent="0.3">
      <c r="A3" s="11"/>
      <c r="B3" s="5">
        <v>43154</v>
      </c>
      <c r="C3" s="6" t="s">
        <v>27</v>
      </c>
      <c r="D3" s="7" t="s">
        <v>29</v>
      </c>
      <c r="E3" s="6" t="s">
        <v>50</v>
      </c>
      <c r="F3" s="15"/>
    </row>
    <row r="4" spans="1:6" x14ac:dyDescent="0.3">
      <c r="A4" s="11"/>
      <c r="B4" s="5"/>
      <c r="C4" s="6"/>
      <c r="D4" s="7"/>
      <c r="E4" s="6"/>
      <c r="F4" s="15"/>
    </row>
    <row r="5" spans="1:6" x14ac:dyDescent="0.3">
      <c r="A5" s="11"/>
      <c r="B5" s="5"/>
      <c r="C5" s="6"/>
      <c r="D5" s="7"/>
      <c r="E5" s="6"/>
      <c r="F5" s="15"/>
    </row>
    <row r="6" spans="1:6" x14ac:dyDescent="0.3">
      <c r="A6" s="11"/>
      <c r="B6" s="5"/>
      <c r="C6" s="6"/>
      <c r="D6" s="7"/>
      <c r="E6" s="6"/>
      <c r="F6" s="15"/>
    </row>
    <row r="7" spans="1:6" x14ac:dyDescent="0.3">
      <c r="A7" s="11"/>
      <c r="B7" s="5"/>
      <c r="C7" s="6"/>
      <c r="D7" s="7"/>
      <c r="E7" s="6"/>
      <c r="F7" s="15"/>
    </row>
    <row r="8" spans="1:6" x14ac:dyDescent="0.3">
      <c r="A8" s="11"/>
      <c r="B8" s="5"/>
      <c r="C8" s="6"/>
      <c r="D8" s="7"/>
      <c r="E8" s="6"/>
      <c r="F8" s="15"/>
    </row>
    <row r="9" spans="1:6" x14ac:dyDescent="0.3">
      <c r="A9" s="11"/>
      <c r="B9" s="5"/>
      <c r="C9" s="6"/>
      <c r="D9" s="7"/>
      <c r="E9" s="6"/>
      <c r="F9" s="15"/>
    </row>
    <row r="10" spans="1:6" x14ac:dyDescent="0.3">
      <c r="A10" s="11"/>
      <c r="B10" s="5"/>
      <c r="C10" s="6"/>
      <c r="D10" s="7"/>
      <c r="E10" s="6"/>
      <c r="F10" s="15"/>
    </row>
    <row r="11" spans="1:6" x14ac:dyDescent="0.3">
      <c r="A11" s="11"/>
      <c r="B11" s="5"/>
      <c r="C11" s="6"/>
      <c r="D11" s="7"/>
      <c r="E11" s="6"/>
      <c r="F11" s="15"/>
    </row>
    <row r="12" spans="1:6" x14ac:dyDescent="0.3">
      <c r="A12" s="11"/>
      <c r="B12" s="5"/>
      <c r="C12" s="6"/>
      <c r="D12" s="7"/>
      <c r="E12" s="6"/>
      <c r="F12" s="15"/>
    </row>
    <row r="13" spans="1:6" x14ac:dyDescent="0.3">
      <c r="A13" s="11"/>
      <c r="B13" s="5"/>
      <c r="C13" s="6"/>
      <c r="D13" s="7"/>
      <c r="E13" s="6"/>
      <c r="F13" s="15"/>
    </row>
    <row r="14" spans="1:6" x14ac:dyDescent="0.3">
      <c r="A14" s="11"/>
      <c r="B14" s="5"/>
      <c r="C14" s="6"/>
      <c r="D14" s="7"/>
      <c r="E14" s="6"/>
      <c r="F14" s="15"/>
    </row>
    <row r="15" spans="1:6" x14ac:dyDescent="0.3">
      <c r="A15" s="11"/>
      <c r="B15" s="5"/>
      <c r="C15" s="6"/>
      <c r="D15" s="7"/>
      <c r="E15" s="6"/>
      <c r="F15" s="15"/>
    </row>
    <row r="16" spans="1:6" x14ac:dyDescent="0.3">
      <c r="A16" s="11"/>
      <c r="B16" s="5"/>
      <c r="C16" s="6"/>
      <c r="D16" s="7"/>
      <c r="E16" s="6"/>
      <c r="F16" s="15"/>
    </row>
    <row r="17" spans="1:6" x14ac:dyDescent="0.3">
      <c r="A17" s="11"/>
      <c r="B17" s="5"/>
      <c r="C17" s="6"/>
      <c r="D17" s="7"/>
      <c r="E17" s="6"/>
      <c r="F17" s="15"/>
    </row>
    <row r="18" spans="1:6" x14ac:dyDescent="0.3">
      <c r="A18" s="11"/>
      <c r="B18" s="5"/>
      <c r="C18" s="6"/>
      <c r="D18" s="7"/>
      <c r="E18" s="6"/>
      <c r="F18" s="15"/>
    </row>
    <row r="19" spans="1:6" x14ac:dyDescent="0.3">
      <c r="A19" s="11"/>
      <c r="B19" s="5"/>
      <c r="C19" s="6"/>
      <c r="D19" s="7"/>
      <c r="E19" s="6"/>
      <c r="F19" s="15"/>
    </row>
    <row r="20" spans="1:6" x14ac:dyDescent="0.3">
      <c r="A20" s="11"/>
      <c r="B20" s="5"/>
      <c r="C20" s="6"/>
      <c r="D20" s="7"/>
      <c r="E20" s="6"/>
      <c r="F20" s="15"/>
    </row>
    <row r="21" spans="1:6" x14ac:dyDescent="0.3">
      <c r="A21" s="11"/>
      <c r="B21" s="5"/>
      <c r="C21" s="6"/>
      <c r="D21" s="7"/>
      <c r="E21" s="6"/>
      <c r="F21" s="15"/>
    </row>
    <row r="22" spans="1:6" x14ac:dyDescent="0.3">
      <c r="A22" s="11"/>
      <c r="B22" s="5"/>
      <c r="C22" s="6"/>
      <c r="D22" s="7"/>
      <c r="E22" s="6"/>
      <c r="F22" s="15"/>
    </row>
    <row r="23" spans="1:6" x14ac:dyDescent="0.3">
      <c r="A23" s="11"/>
      <c r="B23" s="5"/>
      <c r="C23" s="6"/>
      <c r="D23" s="7"/>
      <c r="E23" s="6"/>
      <c r="F23" s="15"/>
    </row>
    <row r="24" spans="1:6" x14ac:dyDescent="0.3">
      <c r="A24" s="11"/>
      <c r="B24" s="5"/>
      <c r="C24" s="6"/>
      <c r="D24" s="7"/>
      <c r="E24" s="6"/>
      <c r="F24" s="15"/>
    </row>
    <row r="25" spans="1:6" x14ac:dyDescent="0.3">
      <c r="A25" s="11"/>
      <c r="B25" s="5"/>
      <c r="C25" s="6"/>
      <c r="D25" s="7"/>
      <c r="E25" s="6"/>
      <c r="F25" s="15"/>
    </row>
    <row r="26" spans="1:6" x14ac:dyDescent="0.3">
      <c r="A26" s="11"/>
      <c r="B26" s="5"/>
      <c r="C26" s="6"/>
      <c r="D26" s="7"/>
      <c r="E26" s="6"/>
      <c r="F26" s="15"/>
    </row>
    <row r="27" spans="1:6" x14ac:dyDescent="0.3">
      <c r="A27" s="11"/>
      <c r="B27" s="5"/>
      <c r="C27" s="6"/>
      <c r="D27" s="7"/>
      <c r="E27" s="6"/>
      <c r="F27" s="15"/>
    </row>
    <row r="28" spans="1:6" x14ac:dyDescent="0.3">
      <c r="A28" s="11"/>
      <c r="B28" s="5"/>
      <c r="C28" s="6"/>
      <c r="D28" s="7"/>
      <c r="E28" s="6"/>
      <c r="F28" s="15"/>
    </row>
    <row r="29" spans="1:6" x14ac:dyDescent="0.3">
      <c r="A29" s="11"/>
      <c r="B29" s="5"/>
      <c r="C29" s="6"/>
      <c r="D29" s="7"/>
      <c r="E29" s="6"/>
      <c r="F29" s="15"/>
    </row>
    <row r="30" spans="1:6" x14ac:dyDescent="0.3">
      <c r="A30" s="11"/>
      <c r="B30" s="5"/>
      <c r="C30" s="6"/>
      <c r="D30" s="7"/>
      <c r="E30" s="6"/>
      <c r="F30" s="15"/>
    </row>
    <row r="31" spans="1:6" x14ac:dyDescent="0.3">
      <c r="A31" s="11"/>
      <c r="B31" s="5"/>
      <c r="C31" s="6"/>
      <c r="D31" s="7"/>
      <c r="E31" s="6"/>
      <c r="F31" s="15"/>
    </row>
    <row r="32" spans="1:6" x14ac:dyDescent="0.3">
      <c r="A32" s="11"/>
      <c r="B32" s="5"/>
      <c r="C32" s="6"/>
      <c r="D32" s="7"/>
      <c r="E32" s="6"/>
      <c r="F32" s="15"/>
    </row>
    <row r="33" spans="1:6" x14ac:dyDescent="0.3">
      <c r="A33" s="11"/>
      <c r="B33" s="5"/>
      <c r="C33" s="6"/>
      <c r="D33" s="7"/>
      <c r="E33" s="6"/>
      <c r="F33" s="15"/>
    </row>
    <row r="34" spans="1:6" x14ac:dyDescent="0.3">
      <c r="A34" s="11"/>
      <c r="B34" s="5"/>
      <c r="C34" s="6"/>
      <c r="D34" s="7"/>
      <c r="E34" s="6"/>
      <c r="F34" s="15"/>
    </row>
    <row r="35" spans="1:6" x14ac:dyDescent="0.3">
      <c r="A35" s="11"/>
      <c r="B35" s="5"/>
      <c r="C35" s="6"/>
      <c r="D35" s="7"/>
      <c r="E35" s="6"/>
      <c r="F35" s="15"/>
    </row>
    <row r="36" spans="1:6" x14ac:dyDescent="0.3">
      <c r="A36" s="11"/>
      <c r="B36" s="5"/>
      <c r="C36" s="6"/>
      <c r="D36" s="7"/>
      <c r="E36" s="6"/>
      <c r="F36" s="15"/>
    </row>
    <row r="37" spans="1:6" x14ac:dyDescent="0.3">
      <c r="A37" s="11"/>
      <c r="B37" s="5"/>
      <c r="C37" s="6"/>
      <c r="D37" s="7"/>
      <c r="E37" s="6"/>
      <c r="F37" s="15"/>
    </row>
    <row r="38" spans="1:6" x14ac:dyDescent="0.3">
      <c r="A38" s="11"/>
      <c r="B38" s="5"/>
      <c r="C38" s="6"/>
      <c r="D38" s="7"/>
      <c r="E38" s="6"/>
      <c r="F38" s="15"/>
    </row>
    <row r="39" spans="1:6" x14ac:dyDescent="0.3">
      <c r="A39" s="11"/>
      <c r="B39" s="5"/>
      <c r="C39" s="6"/>
      <c r="D39" s="7"/>
      <c r="E39" s="6"/>
      <c r="F39" s="15"/>
    </row>
    <row r="40" spans="1:6" x14ac:dyDescent="0.3">
      <c r="A40" s="11"/>
      <c r="B40" s="5"/>
      <c r="C40" s="6"/>
      <c r="D40" s="7"/>
      <c r="E40" s="6"/>
      <c r="F40" s="15"/>
    </row>
    <row r="41" spans="1:6" x14ac:dyDescent="0.3">
      <c r="A41" s="11"/>
      <c r="B41" s="5"/>
      <c r="C41" s="6"/>
      <c r="D41" s="7"/>
      <c r="E41" s="6"/>
      <c r="F41" s="15"/>
    </row>
    <row r="42" spans="1:6" x14ac:dyDescent="0.3">
      <c r="A42" s="11"/>
      <c r="B42" s="5"/>
      <c r="C42" s="6"/>
      <c r="D42" s="7"/>
      <c r="E42" s="6"/>
      <c r="F42" s="15"/>
    </row>
    <row r="43" spans="1:6" x14ac:dyDescent="0.3">
      <c r="A43" s="11"/>
      <c r="B43" s="5"/>
      <c r="C43" s="6"/>
      <c r="D43" s="7"/>
      <c r="E43" s="6"/>
      <c r="F43" s="15"/>
    </row>
    <row r="44" spans="1:6" x14ac:dyDescent="0.3">
      <c r="A44" s="11"/>
      <c r="B44" s="5"/>
      <c r="C44" s="6"/>
      <c r="D44" s="7"/>
      <c r="E44" s="6"/>
      <c r="F44" s="15"/>
    </row>
    <row r="45" spans="1:6" x14ac:dyDescent="0.3">
      <c r="A45" s="11"/>
      <c r="B45" s="5"/>
      <c r="C45" s="6"/>
      <c r="D45" s="7"/>
      <c r="E45" s="6"/>
      <c r="F45" s="15"/>
    </row>
    <row r="46" spans="1:6" x14ac:dyDescent="0.3">
      <c r="A46" s="11"/>
      <c r="B46" s="5"/>
      <c r="C46" s="6"/>
      <c r="D46" s="7"/>
      <c r="E46" s="6"/>
      <c r="F46" s="15"/>
    </row>
    <row r="47" spans="1:6" x14ac:dyDescent="0.3">
      <c r="A47" s="11"/>
      <c r="B47" s="5"/>
      <c r="C47" s="6"/>
      <c r="D47" s="7"/>
      <c r="E47" s="6"/>
      <c r="F47" s="15"/>
    </row>
    <row r="48" spans="1:6" x14ac:dyDescent="0.3">
      <c r="A48" s="11"/>
      <c r="B48" s="5"/>
      <c r="C48" s="6"/>
      <c r="D48" s="7"/>
      <c r="E48" s="6"/>
      <c r="F48" s="15"/>
    </row>
    <row r="49" spans="1:6" x14ac:dyDescent="0.3">
      <c r="A49" s="11"/>
      <c r="B49" s="5"/>
      <c r="C49" s="6"/>
      <c r="D49" s="7"/>
      <c r="E49" s="6"/>
      <c r="F49" s="15"/>
    </row>
    <row r="50" spans="1:6" x14ac:dyDescent="0.3">
      <c r="A50" s="11"/>
      <c r="B50" s="5"/>
      <c r="C50" s="6"/>
      <c r="D50" s="7"/>
      <c r="E50" s="6"/>
      <c r="F50" s="15"/>
    </row>
    <row r="51" spans="1:6" x14ac:dyDescent="0.3">
      <c r="A51" s="11"/>
      <c r="B51" s="5"/>
      <c r="C51" s="6"/>
      <c r="D51" s="7"/>
      <c r="E51" s="6"/>
      <c r="F51" s="15"/>
    </row>
    <row r="52" spans="1:6" x14ac:dyDescent="0.3">
      <c r="A52" s="11"/>
      <c r="B52" s="5"/>
      <c r="C52" s="6"/>
      <c r="D52" s="7"/>
      <c r="E52" s="6"/>
      <c r="F52" s="15"/>
    </row>
    <row r="53" spans="1:6" x14ac:dyDescent="0.3">
      <c r="A53" s="16"/>
      <c r="B53" s="17"/>
      <c r="C53" s="17"/>
      <c r="D53" s="17"/>
      <c r="E53" s="17"/>
      <c r="F53" s="19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6"/>
  <dimension ref="A2:K8"/>
  <sheetViews>
    <sheetView workbookViewId="0"/>
  </sheetViews>
  <sheetFormatPr defaultRowHeight="14.4" x14ac:dyDescent="0.3"/>
  <cols>
    <col min="1" max="1" width="4.33203125" customWidth="1"/>
    <col min="2" max="2" width="21.33203125" bestFit="1" customWidth="1"/>
    <col min="3" max="3" width="95.21875" customWidth="1"/>
    <col min="4" max="4" width="11.5546875" bestFit="1" customWidth="1"/>
    <col min="5" max="5" width="11.77734375" bestFit="1" customWidth="1"/>
    <col min="6" max="6" width="14.6640625" customWidth="1"/>
    <col min="7" max="7" width="11.77734375" bestFit="1" customWidth="1"/>
    <col min="8" max="9" width="4.77734375" customWidth="1"/>
    <col min="10" max="10" width="10.77734375" bestFit="1" customWidth="1"/>
  </cols>
  <sheetData>
    <row r="2" spans="1:11" x14ac:dyDescent="0.3">
      <c r="B2" t="s">
        <v>326</v>
      </c>
      <c r="C2" t="s">
        <v>327</v>
      </c>
      <c r="D2" t="s">
        <v>116</v>
      </c>
      <c r="E2" t="s">
        <v>13</v>
      </c>
      <c r="F2" t="s">
        <v>187</v>
      </c>
      <c r="G2" t="s">
        <v>117</v>
      </c>
      <c r="J2" s="195" t="s">
        <v>328</v>
      </c>
      <c r="K2" s="195"/>
    </row>
    <row r="3" spans="1:11" x14ac:dyDescent="0.3">
      <c r="A3">
        <v>1</v>
      </c>
      <c r="B3" s="168" t="s">
        <v>113</v>
      </c>
      <c r="C3" t="s">
        <v>334</v>
      </c>
      <c r="D3" t="s">
        <v>341</v>
      </c>
      <c r="E3" t="s">
        <v>342</v>
      </c>
      <c r="F3" t="s">
        <v>341</v>
      </c>
      <c r="G3" t="s">
        <v>347</v>
      </c>
      <c r="H3" t="s">
        <v>345</v>
      </c>
      <c r="J3" t="s">
        <v>35</v>
      </c>
      <c r="K3" t="s">
        <v>329</v>
      </c>
    </row>
    <row r="4" spans="1:11" x14ac:dyDescent="0.3">
      <c r="A4">
        <v>2</v>
      </c>
      <c r="B4" s="168" t="s">
        <v>114</v>
      </c>
      <c r="C4" t="s">
        <v>334</v>
      </c>
      <c r="D4" t="s">
        <v>341</v>
      </c>
      <c r="E4" t="s">
        <v>342</v>
      </c>
      <c r="F4" t="s">
        <v>341</v>
      </c>
      <c r="G4" t="s">
        <v>347</v>
      </c>
      <c r="H4" t="s">
        <v>345</v>
      </c>
      <c r="J4" t="s">
        <v>36</v>
      </c>
      <c r="K4" t="s">
        <v>330</v>
      </c>
    </row>
    <row r="5" spans="1:11" x14ac:dyDescent="0.3">
      <c r="A5">
        <v>3</v>
      </c>
      <c r="B5" s="168" t="s">
        <v>115</v>
      </c>
      <c r="C5" t="s">
        <v>334</v>
      </c>
      <c r="D5" t="s">
        <v>341</v>
      </c>
      <c r="E5" t="s">
        <v>342</v>
      </c>
      <c r="F5" t="s">
        <v>341</v>
      </c>
      <c r="G5" t="s">
        <v>347</v>
      </c>
      <c r="H5" t="s">
        <v>345</v>
      </c>
      <c r="J5" t="s">
        <v>37</v>
      </c>
      <c r="K5" t="s">
        <v>331</v>
      </c>
    </row>
    <row r="6" spans="1:11" x14ac:dyDescent="0.3">
      <c r="A6">
        <v>4</v>
      </c>
      <c r="B6" s="168" t="s">
        <v>183</v>
      </c>
      <c r="C6" t="s">
        <v>335</v>
      </c>
      <c r="D6" t="s">
        <v>340</v>
      </c>
      <c r="E6" t="s">
        <v>343</v>
      </c>
      <c r="F6" t="s">
        <v>344</v>
      </c>
      <c r="G6" t="s">
        <v>346</v>
      </c>
      <c r="H6" t="s">
        <v>345</v>
      </c>
      <c r="J6" t="s">
        <v>323</v>
      </c>
      <c r="K6" t="s">
        <v>332</v>
      </c>
    </row>
    <row r="7" spans="1:11" x14ac:dyDescent="0.3">
      <c r="A7">
        <v>5</v>
      </c>
      <c r="B7" s="168" t="s">
        <v>184</v>
      </c>
      <c r="C7" t="s">
        <v>335</v>
      </c>
      <c r="D7" t="s">
        <v>348</v>
      </c>
      <c r="E7" t="s">
        <v>343</v>
      </c>
      <c r="F7" t="s">
        <v>343</v>
      </c>
      <c r="G7" t="s">
        <v>346</v>
      </c>
      <c r="H7" t="s">
        <v>345</v>
      </c>
      <c r="J7" t="s">
        <v>336</v>
      </c>
      <c r="K7" t="s">
        <v>338</v>
      </c>
    </row>
    <row r="8" spans="1:11" x14ac:dyDescent="0.3">
      <c r="A8">
        <v>6</v>
      </c>
      <c r="B8" s="168" t="s">
        <v>325</v>
      </c>
      <c r="C8" t="s">
        <v>333</v>
      </c>
      <c r="D8" t="s">
        <v>349</v>
      </c>
      <c r="E8" t="s">
        <v>343</v>
      </c>
      <c r="F8" t="s">
        <v>350</v>
      </c>
      <c r="G8" t="s">
        <v>343</v>
      </c>
      <c r="J8" t="s">
        <v>337</v>
      </c>
      <c r="K8" t="s">
        <v>339</v>
      </c>
    </row>
  </sheetData>
  <mergeCells count="1">
    <mergeCell ref="J2:K2"/>
  </mergeCells>
  <pageMargins left="0.7" right="0.7" top="0.75" bottom="0.75" header="0.3" footer="0.3"/>
  <pageSetup paperSize="17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I18"/>
  <sheetViews>
    <sheetView tabSelected="1" zoomScaleNormal="100" workbookViewId="0"/>
  </sheetViews>
  <sheetFormatPr defaultColWidth="2.88671875" defaultRowHeight="14.4" x14ac:dyDescent="0.3"/>
  <cols>
    <col min="1" max="1" width="2.88671875" style="89"/>
    <col min="2" max="2" width="36.6640625" style="89" bestFit="1" customWidth="1"/>
    <col min="3" max="3" width="2.88671875" style="89"/>
    <col min="4" max="4" width="45.109375" style="108" bestFit="1" customWidth="1"/>
    <col min="5" max="5" width="2.88671875" style="89"/>
    <col min="6" max="6" width="31.33203125" style="89" customWidth="1"/>
    <col min="7" max="7" width="2.88671875" style="89"/>
    <col min="8" max="8" width="60.88671875" style="109" customWidth="1"/>
    <col min="9" max="24" width="2.88671875" style="89"/>
    <col min="25" max="25" width="3" style="89" customWidth="1"/>
    <col min="26" max="16384" width="2.88671875" style="89"/>
  </cols>
  <sheetData>
    <row r="1" spans="1:9" x14ac:dyDescent="0.3">
      <c r="A1" s="83"/>
      <c r="B1" s="84"/>
      <c r="C1" s="85"/>
      <c r="D1" s="86" t="s">
        <v>30</v>
      </c>
      <c r="E1" s="85"/>
      <c r="F1" s="86" t="s">
        <v>23</v>
      </c>
      <c r="G1" s="84"/>
      <c r="H1" s="87" t="s">
        <v>52</v>
      </c>
      <c r="I1" s="88"/>
    </row>
    <row r="2" spans="1:9" x14ac:dyDescent="0.3">
      <c r="A2" s="90"/>
      <c r="B2" s="91" t="s">
        <v>34</v>
      </c>
      <c r="C2" s="92"/>
      <c r="D2" s="21" t="str">
        <f>D5</f>
        <v>Alexander Shafer</v>
      </c>
      <c r="E2" s="92"/>
      <c r="F2" s="93">
        <f>F6</f>
        <v>0</v>
      </c>
      <c r="G2" s="94"/>
      <c r="H2" s="95"/>
      <c r="I2" s="96"/>
    </row>
    <row r="3" spans="1:9" x14ac:dyDescent="0.3">
      <c r="A3" s="90"/>
      <c r="B3" s="65" t="s">
        <v>323</v>
      </c>
      <c r="C3" s="92"/>
      <c r="D3" s="113" t="s">
        <v>325</v>
      </c>
      <c r="E3" s="92"/>
      <c r="F3" s="93"/>
      <c r="G3" s="94"/>
      <c r="H3" s="95"/>
      <c r="I3" s="96"/>
    </row>
    <row r="4" spans="1:9" x14ac:dyDescent="0.3">
      <c r="A4" s="90"/>
      <c r="B4" s="97" t="s">
        <v>35</v>
      </c>
      <c r="C4" s="94"/>
      <c r="D4" s="113" t="s">
        <v>528</v>
      </c>
      <c r="E4" s="99"/>
      <c r="F4" s="99"/>
      <c r="G4" s="94"/>
      <c r="H4" s="100" t="s">
        <v>51</v>
      </c>
      <c r="I4" s="96"/>
    </row>
    <row r="5" spans="1:9" x14ac:dyDescent="0.3">
      <c r="A5" s="90"/>
      <c r="B5" s="97" t="s">
        <v>36</v>
      </c>
      <c r="C5" s="94"/>
      <c r="D5" s="113" t="s">
        <v>508</v>
      </c>
      <c r="E5" s="99"/>
      <c r="F5" s="99"/>
      <c r="G5" s="94"/>
      <c r="H5" s="112" t="s">
        <v>324</v>
      </c>
      <c r="I5" s="96"/>
    </row>
    <row r="6" spans="1:9" x14ac:dyDescent="0.3">
      <c r="A6" s="90"/>
      <c r="B6" s="97" t="s">
        <v>37</v>
      </c>
      <c r="C6" s="94"/>
      <c r="D6" s="99"/>
      <c r="E6" s="99"/>
      <c r="F6" s="113"/>
      <c r="G6" s="94"/>
      <c r="H6" s="112" t="s">
        <v>185</v>
      </c>
      <c r="I6" s="96"/>
    </row>
    <row r="7" spans="1:9" x14ac:dyDescent="0.3">
      <c r="A7" s="90"/>
      <c r="B7" s="97" t="s">
        <v>38</v>
      </c>
      <c r="C7" s="94"/>
      <c r="D7" s="101">
        <v>43361</v>
      </c>
      <c r="E7" s="99"/>
      <c r="F7" s="101"/>
      <c r="G7" s="94"/>
      <c r="H7" s="112" t="s">
        <v>186</v>
      </c>
      <c r="I7" s="96"/>
    </row>
    <row r="8" spans="1:9" x14ac:dyDescent="0.3">
      <c r="A8" s="90"/>
      <c r="B8" s="65" t="s">
        <v>116</v>
      </c>
      <c r="C8" s="94"/>
      <c r="D8" s="113" t="s">
        <v>529</v>
      </c>
      <c r="E8" s="99"/>
      <c r="F8" s="113"/>
      <c r="G8" s="94"/>
      <c r="H8" s="112" t="s">
        <v>349</v>
      </c>
      <c r="I8" s="96"/>
    </row>
    <row r="9" spans="1:9" hidden="1" x14ac:dyDescent="0.3">
      <c r="A9" s="90"/>
      <c r="B9" s="65" t="s">
        <v>13</v>
      </c>
      <c r="C9" s="94"/>
      <c r="D9" s="113"/>
      <c r="E9" s="99"/>
      <c r="F9" s="98"/>
      <c r="G9" s="94"/>
      <c r="H9" s="115"/>
      <c r="I9" s="96"/>
    </row>
    <row r="10" spans="1:9" x14ac:dyDescent="0.3">
      <c r="A10" s="90"/>
      <c r="B10" s="65" t="s">
        <v>187</v>
      </c>
      <c r="C10" s="94"/>
      <c r="D10" s="113" t="s">
        <v>530</v>
      </c>
      <c r="E10" s="99"/>
      <c r="F10" s="113"/>
      <c r="G10" s="94"/>
      <c r="H10" s="115" t="s">
        <v>350</v>
      </c>
      <c r="I10" s="96"/>
    </row>
    <row r="11" spans="1:9" hidden="1" x14ac:dyDescent="0.3">
      <c r="A11" s="90"/>
      <c r="B11" s="65" t="s">
        <v>117</v>
      </c>
      <c r="C11" s="94"/>
      <c r="D11" s="114"/>
      <c r="E11" s="99"/>
      <c r="F11" s="102"/>
      <c r="G11" s="94"/>
      <c r="H11" s="115"/>
      <c r="I11" s="96"/>
    </row>
    <row r="12" spans="1:9" x14ac:dyDescent="0.3">
      <c r="A12" s="90"/>
      <c r="B12" s="65" t="s">
        <v>421</v>
      </c>
      <c r="C12" s="94"/>
      <c r="D12" s="114" t="s">
        <v>17</v>
      </c>
      <c r="E12" s="99"/>
      <c r="F12" s="194"/>
      <c r="G12" s="94"/>
      <c r="H12" s="115" t="s">
        <v>509</v>
      </c>
      <c r="I12" s="96"/>
    </row>
    <row r="13" spans="1:9" x14ac:dyDescent="0.3">
      <c r="A13" s="90"/>
      <c r="B13" s="65" t="s">
        <v>411</v>
      </c>
      <c r="C13" s="94"/>
      <c r="D13" s="114" t="s">
        <v>526</v>
      </c>
      <c r="E13" s="99"/>
      <c r="F13" s="194"/>
      <c r="G13" s="94"/>
      <c r="H13" s="115" t="s">
        <v>412</v>
      </c>
      <c r="I13" s="96"/>
    </row>
    <row r="14" spans="1:9" x14ac:dyDescent="0.3">
      <c r="A14" s="90"/>
      <c r="B14" s="66" t="s">
        <v>351</v>
      </c>
      <c r="C14" s="94"/>
      <c r="D14" s="114" t="s">
        <v>526</v>
      </c>
      <c r="E14" s="99"/>
      <c r="F14" s="194"/>
      <c r="G14" s="94"/>
      <c r="H14" s="115" t="s">
        <v>352</v>
      </c>
      <c r="I14" s="96"/>
    </row>
    <row r="15" spans="1:9" hidden="1" x14ac:dyDescent="0.3">
      <c r="A15" s="90"/>
      <c r="B15" s="65" t="s">
        <v>422</v>
      </c>
      <c r="C15" s="94"/>
      <c r="D15" s="114"/>
      <c r="E15" s="99"/>
      <c r="F15" s="102"/>
      <c r="G15" s="94"/>
      <c r="H15" s="183" t="s">
        <v>423</v>
      </c>
      <c r="I15" s="96"/>
    </row>
    <row r="16" spans="1:9" hidden="1" x14ac:dyDescent="0.3">
      <c r="A16" s="90"/>
      <c r="B16" s="65" t="s">
        <v>424</v>
      </c>
      <c r="C16" s="94"/>
      <c r="D16" s="114"/>
      <c r="E16" s="99"/>
      <c r="F16" s="102"/>
      <c r="G16" s="94"/>
      <c r="H16" s="115"/>
      <c r="I16" s="96"/>
    </row>
    <row r="17" spans="1:9" hidden="1" x14ac:dyDescent="0.3">
      <c r="A17" s="90"/>
      <c r="B17" s="66" t="s">
        <v>425</v>
      </c>
      <c r="C17" s="94"/>
      <c r="D17" s="114"/>
      <c r="E17" s="99"/>
      <c r="F17" s="102"/>
      <c r="G17" s="94"/>
      <c r="H17" s="183"/>
      <c r="I17" s="96"/>
    </row>
    <row r="18" spans="1:9" x14ac:dyDescent="0.3">
      <c r="A18" s="103"/>
      <c r="B18" s="104"/>
      <c r="C18" s="104"/>
      <c r="D18" s="105"/>
      <c r="E18" s="104"/>
      <c r="F18" s="104"/>
      <c r="G18" s="104"/>
      <c r="H18" s="106"/>
      <c r="I18" s="107"/>
    </row>
  </sheetData>
  <conditionalFormatting sqref="F9 D9">
    <cfRule type="expression" dxfId="1" priority="1">
      <formula>LEN($D$9)&gt;8</formula>
    </cfRule>
  </conditionalFormatting>
  <hyperlinks>
    <hyperlink ref="H15" r:id="rId1" xr:uid="{00000000-0004-0000-0200-000000000000}"/>
  </hyperlinks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SettingsTab!$B$3:$B$8</xm:f>
          </x14:formula1>
          <xm:sqref>D3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26"/>
  <sheetViews>
    <sheetView workbookViewId="0">
      <selection activeCell="D19" sqref="D19"/>
    </sheetView>
  </sheetViews>
  <sheetFormatPr defaultRowHeight="14.4" x14ac:dyDescent="0.3"/>
  <cols>
    <col min="1" max="1" width="2.5546875" customWidth="1"/>
    <col min="2" max="2" width="39.6640625" bestFit="1" customWidth="1"/>
    <col min="4" max="4" width="27.77734375" bestFit="1" customWidth="1"/>
    <col min="6" max="6" width="25.5546875" customWidth="1"/>
    <col min="8" max="8" width="44.88671875" customWidth="1"/>
  </cols>
  <sheetData>
    <row r="1" spans="1:9" x14ac:dyDescent="0.3">
      <c r="A1" s="8"/>
      <c r="B1" s="35"/>
      <c r="C1" s="9"/>
      <c r="D1" s="185" t="s">
        <v>30</v>
      </c>
      <c r="E1" s="9"/>
      <c r="F1" s="185" t="s">
        <v>23</v>
      </c>
      <c r="G1" s="9"/>
      <c r="H1" s="31" t="s">
        <v>52</v>
      </c>
      <c r="I1" s="10"/>
    </row>
    <row r="2" spans="1:9" x14ac:dyDescent="0.3">
      <c r="A2" s="11"/>
      <c r="B2" s="180" t="s">
        <v>524</v>
      </c>
      <c r="C2" s="13"/>
      <c r="D2" s="186" t="str">
        <f>General!D2</f>
        <v>Alexander Shafer</v>
      </c>
      <c r="E2" s="13"/>
      <c r="F2" s="186">
        <f>General!F2</f>
        <v>0</v>
      </c>
      <c r="G2" s="13"/>
      <c r="H2" s="22"/>
      <c r="I2" s="15"/>
    </row>
    <row r="3" spans="1:9" x14ac:dyDescent="0.3">
      <c r="A3" s="11"/>
      <c r="B3" s="67" t="s">
        <v>523</v>
      </c>
      <c r="C3" s="13"/>
      <c r="D3" s="193" t="s">
        <v>522</v>
      </c>
      <c r="E3" s="13"/>
      <c r="F3" s="192" t="s">
        <v>527</v>
      </c>
      <c r="G3" s="13"/>
      <c r="H3" s="77" t="s">
        <v>522</v>
      </c>
      <c r="I3" s="15"/>
    </row>
    <row r="4" spans="1:9" x14ac:dyDescent="0.3">
      <c r="A4" s="11"/>
      <c r="B4" s="191"/>
      <c r="C4" s="13"/>
      <c r="D4" s="186"/>
      <c r="E4" s="13"/>
      <c r="F4" s="186"/>
      <c r="G4" s="13"/>
      <c r="H4" s="22"/>
      <c r="I4" s="13"/>
    </row>
    <row r="5" spans="1:9" x14ac:dyDescent="0.3">
      <c r="A5" s="11"/>
      <c r="B5" s="190" t="s">
        <v>354</v>
      </c>
      <c r="C5" s="13"/>
      <c r="D5" s="186"/>
      <c r="E5" s="13"/>
      <c r="F5" s="186"/>
      <c r="G5" s="13"/>
      <c r="H5" s="22"/>
      <c r="I5" s="13"/>
    </row>
    <row r="6" spans="1:9" x14ac:dyDescent="0.3">
      <c r="A6" s="41"/>
      <c r="B6" s="30" t="s">
        <v>356</v>
      </c>
      <c r="C6" s="32"/>
      <c r="D6" s="70" t="s">
        <v>6</v>
      </c>
      <c r="E6" s="33"/>
      <c r="F6" s="81" t="s">
        <v>527</v>
      </c>
      <c r="G6" s="32"/>
      <c r="H6" s="184" t="s">
        <v>357</v>
      </c>
      <c r="I6" s="42"/>
    </row>
    <row r="7" spans="1:9" x14ac:dyDescent="0.3">
      <c r="A7" s="41"/>
      <c r="B7" s="30" t="s">
        <v>359</v>
      </c>
      <c r="C7" s="32"/>
      <c r="D7" s="70" t="s">
        <v>512</v>
      </c>
      <c r="E7" s="33"/>
      <c r="F7" s="81" t="s">
        <v>527</v>
      </c>
      <c r="G7" s="32"/>
      <c r="H7" s="184" t="s">
        <v>360</v>
      </c>
      <c r="I7" s="42"/>
    </row>
    <row r="8" spans="1:9" x14ac:dyDescent="0.3">
      <c r="A8" s="41"/>
      <c r="B8" s="30" t="s">
        <v>365</v>
      </c>
      <c r="C8" s="32"/>
      <c r="D8" s="72">
        <v>9600</v>
      </c>
      <c r="E8" s="33"/>
      <c r="F8" s="71" t="s">
        <v>527</v>
      </c>
      <c r="G8" s="32"/>
      <c r="H8" s="184" t="s">
        <v>521</v>
      </c>
      <c r="I8" s="42"/>
    </row>
    <row r="9" spans="1:9" x14ac:dyDescent="0.3">
      <c r="A9" s="41"/>
      <c r="B9" s="30" t="s">
        <v>362</v>
      </c>
      <c r="C9" s="32"/>
      <c r="D9" s="72" t="s">
        <v>531</v>
      </c>
      <c r="E9" s="33"/>
      <c r="F9" s="71" t="s">
        <v>527</v>
      </c>
      <c r="G9" s="32"/>
      <c r="H9" s="184" t="s">
        <v>363</v>
      </c>
      <c r="I9" s="42"/>
    </row>
    <row r="10" spans="1:9" x14ac:dyDescent="0.3">
      <c r="A10" s="41"/>
      <c r="B10" s="30" t="s">
        <v>520</v>
      </c>
      <c r="C10" s="32"/>
      <c r="D10" s="72" t="b">
        <v>0</v>
      </c>
      <c r="E10" s="33"/>
      <c r="F10" s="71" t="s">
        <v>527</v>
      </c>
      <c r="G10" s="32"/>
      <c r="H10" s="184" t="s">
        <v>519</v>
      </c>
      <c r="I10" s="42"/>
    </row>
    <row r="11" spans="1:9" x14ac:dyDescent="0.3">
      <c r="A11" s="41"/>
      <c r="B11" s="67" t="s">
        <v>518</v>
      </c>
      <c r="C11" s="32"/>
      <c r="D11" s="72" t="s">
        <v>525</v>
      </c>
      <c r="E11" s="33"/>
      <c r="F11" s="71" t="s">
        <v>527</v>
      </c>
      <c r="G11" s="32"/>
      <c r="H11" s="184" t="s">
        <v>517</v>
      </c>
      <c r="I11" s="42"/>
    </row>
    <row r="12" spans="1:9" x14ac:dyDescent="0.3">
      <c r="A12" s="41"/>
      <c r="B12" s="189"/>
      <c r="C12" s="188"/>
      <c r="D12" s="34"/>
      <c r="E12" s="33"/>
      <c r="F12" s="33"/>
      <c r="G12" s="32"/>
      <c r="H12" s="187"/>
      <c r="I12" s="42"/>
    </row>
    <row r="13" spans="1:9" x14ac:dyDescent="0.3">
      <c r="A13" s="11"/>
      <c r="B13" s="38" t="s">
        <v>355</v>
      </c>
      <c r="C13" s="13"/>
      <c r="D13" s="186"/>
      <c r="E13" s="13"/>
      <c r="F13" s="186"/>
      <c r="G13" s="13"/>
      <c r="H13" s="22"/>
      <c r="I13" s="15"/>
    </row>
    <row r="14" spans="1:9" x14ac:dyDescent="0.3">
      <c r="A14" s="41"/>
      <c r="B14" s="30" t="s">
        <v>356</v>
      </c>
      <c r="C14" s="32"/>
      <c r="D14" s="70" t="s">
        <v>510</v>
      </c>
      <c r="E14" s="33"/>
      <c r="F14" s="81" t="s">
        <v>527</v>
      </c>
      <c r="G14" s="32"/>
      <c r="H14" s="184" t="s">
        <v>358</v>
      </c>
      <c r="I14" s="42"/>
    </row>
    <row r="15" spans="1:9" x14ac:dyDescent="0.3">
      <c r="A15" s="41"/>
      <c r="B15" s="30" t="s">
        <v>359</v>
      </c>
      <c r="C15" s="32"/>
      <c r="D15" s="72" t="s">
        <v>511</v>
      </c>
      <c r="E15" s="33"/>
      <c r="F15" s="71" t="s">
        <v>527</v>
      </c>
      <c r="G15" s="32"/>
      <c r="H15" s="184" t="s">
        <v>361</v>
      </c>
      <c r="I15" s="42"/>
    </row>
    <row r="16" spans="1:9" x14ac:dyDescent="0.3">
      <c r="A16" s="41"/>
      <c r="B16" s="30" t="s">
        <v>365</v>
      </c>
      <c r="C16" s="32"/>
      <c r="D16" s="72">
        <v>1200</v>
      </c>
      <c r="E16" s="33"/>
      <c r="F16" s="71" t="s">
        <v>527</v>
      </c>
      <c r="G16" s="32"/>
      <c r="H16" s="184" t="s">
        <v>366</v>
      </c>
      <c r="I16" s="42"/>
    </row>
    <row r="17" spans="1:9" x14ac:dyDescent="0.3">
      <c r="A17" s="41"/>
      <c r="B17" s="30" t="s">
        <v>516</v>
      </c>
      <c r="C17" s="32"/>
      <c r="D17" s="72">
        <v>1</v>
      </c>
      <c r="E17" s="33"/>
      <c r="F17" s="71" t="s">
        <v>527</v>
      </c>
      <c r="G17" s="32"/>
      <c r="H17" s="184" t="s">
        <v>515</v>
      </c>
      <c r="I17" s="42"/>
    </row>
    <row r="18" spans="1:9" x14ac:dyDescent="0.3">
      <c r="A18" s="41"/>
      <c r="B18" s="67" t="s">
        <v>362</v>
      </c>
      <c r="C18" s="32"/>
      <c r="D18" s="72" t="s">
        <v>532</v>
      </c>
      <c r="E18" s="33"/>
      <c r="F18" s="71" t="s">
        <v>527</v>
      </c>
      <c r="G18" s="32"/>
      <c r="H18" s="184" t="s">
        <v>514</v>
      </c>
      <c r="I18" s="42"/>
    </row>
    <row r="19" spans="1:9" x14ac:dyDescent="0.3">
      <c r="A19" s="11"/>
      <c r="B19" s="36"/>
      <c r="C19" s="13"/>
      <c r="D19" s="165"/>
      <c r="E19" s="13"/>
      <c r="F19" s="165"/>
      <c r="G19" s="13"/>
      <c r="H19" s="31"/>
      <c r="I19" s="15"/>
    </row>
    <row r="20" spans="1:9" x14ac:dyDescent="0.3">
      <c r="A20" s="11"/>
      <c r="B20" s="38" t="s">
        <v>355</v>
      </c>
      <c r="C20" s="13"/>
      <c r="D20" s="186"/>
      <c r="E20" s="13"/>
      <c r="F20" s="186"/>
      <c r="G20" s="13"/>
      <c r="H20" s="22"/>
      <c r="I20" s="15"/>
    </row>
    <row r="21" spans="1:9" x14ac:dyDescent="0.3">
      <c r="A21" s="41"/>
      <c r="B21" s="169" t="s">
        <v>326</v>
      </c>
      <c r="C21" s="32"/>
      <c r="D21" s="186"/>
      <c r="E21" s="13"/>
      <c r="F21" s="186"/>
      <c r="G21" s="13"/>
      <c r="H21" s="22"/>
      <c r="I21" s="42"/>
    </row>
    <row r="22" spans="1:9" x14ac:dyDescent="0.3">
      <c r="A22" s="41"/>
      <c r="B22" s="67" t="s">
        <v>353</v>
      </c>
      <c r="C22" s="32"/>
      <c r="D22" s="70" t="s">
        <v>364</v>
      </c>
      <c r="E22" s="33"/>
      <c r="F22" s="81" t="s">
        <v>527</v>
      </c>
      <c r="G22" s="32"/>
      <c r="H22" s="184" t="s">
        <v>364</v>
      </c>
      <c r="I22" s="42"/>
    </row>
    <row r="23" spans="1:9" x14ac:dyDescent="0.3">
      <c r="A23" s="11"/>
      <c r="B23" s="36"/>
      <c r="C23" s="13"/>
      <c r="D23" s="165"/>
      <c r="E23" s="13"/>
      <c r="F23" s="165"/>
      <c r="G23" s="13"/>
      <c r="H23" s="31"/>
      <c r="I23" s="15"/>
    </row>
    <row r="24" spans="1:9" x14ac:dyDescent="0.3">
      <c r="A24" s="11"/>
      <c r="B24" s="38" t="s">
        <v>367</v>
      </c>
      <c r="C24" s="13"/>
      <c r="D24" s="186"/>
      <c r="E24" s="13"/>
      <c r="F24" s="186"/>
      <c r="G24" s="13"/>
      <c r="H24" s="22"/>
      <c r="I24" s="15"/>
    </row>
    <row r="25" spans="1:9" x14ac:dyDescent="0.3">
      <c r="A25" s="41"/>
      <c r="B25" s="67" t="s">
        <v>513</v>
      </c>
      <c r="C25" s="32"/>
      <c r="D25" s="70" t="s">
        <v>526</v>
      </c>
      <c r="E25" s="33"/>
      <c r="F25" s="81" t="s">
        <v>527</v>
      </c>
      <c r="G25" s="32"/>
      <c r="H25" s="184" t="s">
        <v>368</v>
      </c>
      <c r="I25" s="42"/>
    </row>
    <row r="26" spans="1:9" x14ac:dyDescent="0.3">
      <c r="A26" s="16"/>
      <c r="B26" s="37"/>
      <c r="C26" s="17"/>
      <c r="D26" s="170"/>
      <c r="E26" s="17"/>
      <c r="F26" s="170"/>
      <c r="G26" s="17"/>
      <c r="H26" s="171"/>
      <c r="I26" s="1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AA53"/>
  <sheetViews>
    <sheetView zoomScaleNormal="100" workbookViewId="0"/>
  </sheetViews>
  <sheetFormatPr defaultColWidth="2.88671875" defaultRowHeight="14.4" x14ac:dyDescent="0.3"/>
  <cols>
    <col min="2" max="2" width="39.6640625" style="26" bestFit="1" customWidth="1"/>
    <col min="3" max="3" width="2.88671875" style="2"/>
    <col min="4" max="4" width="16.44140625" style="2" bestFit="1" customWidth="1"/>
    <col min="5" max="5" width="8.88671875" style="2" bestFit="1" customWidth="1"/>
    <col min="6" max="6" width="2.88671875" style="2"/>
    <col min="7" max="7" width="19.33203125" style="1" customWidth="1"/>
    <col min="9" max="9" width="20" customWidth="1"/>
    <col min="11" max="11" width="44.88671875" style="40" customWidth="1"/>
    <col min="27" max="27" width="6.33203125" customWidth="1"/>
  </cols>
  <sheetData>
    <row r="1" spans="1:27" x14ac:dyDescent="0.3">
      <c r="A1" s="8"/>
      <c r="B1" s="35"/>
      <c r="C1" s="9"/>
      <c r="D1" s="9"/>
      <c r="E1" s="9"/>
      <c r="F1" s="9"/>
      <c r="G1" s="20" t="s">
        <v>30</v>
      </c>
      <c r="H1" s="9"/>
      <c r="I1" s="20" t="s">
        <v>23</v>
      </c>
      <c r="J1" s="9"/>
      <c r="K1" s="31" t="s">
        <v>52</v>
      </c>
      <c r="L1" s="10"/>
      <c r="P1" s="3" t="s">
        <v>16</v>
      </c>
    </row>
    <row r="2" spans="1:27" x14ac:dyDescent="0.3">
      <c r="A2" s="11"/>
      <c r="B2" s="38" t="s">
        <v>406</v>
      </c>
      <c r="C2" s="13"/>
      <c r="D2" s="13"/>
      <c r="E2" s="13"/>
      <c r="F2" s="13"/>
      <c r="G2" s="21" t="str">
        <f>General!D5</f>
        <v>Alexander Shafer</v>
      </c>
      <c r="H2" s="13"/>
      <c r="I2" s="21">
        <f>General!F6</f>
        <v>0</v>
      </c>
      <c r="J2" s="13"/>
      <c r="K2" s="22"/>
      <c r="L2" s="15"/>
      <c r="P2" s="3" t="s">
        <v>17</v>
      </c>
    </row>
    <row r="3" spans="1:27" s="43" customFormat="1" x14ac:dyDescent="0.3">
      <c r="A3" s="41"/>
      <c r="B3" s="30" t="s">
        <v>409</v>
      </c>
      <c r="C3" s="32"/>
      <c r="D3" s="32"/>
      <c r="E3" s="32"/>
      <c r="F3" s="32"/>
      <c r="G3" s="70"/>
      <c r="H3" s="33"/>
      <c r="I3" s="81"/>
      <c r="J3" s="32"/>
      <c r="K3" s="76" t="s">
        <v>410</v>
      </c>
      <c r="L3" s="42"/>
      <c r="AA3" s="117" t="s">
        <v>126</v>
      </c>
    </row>
    <row r="4" spans="1:27" s="43" customFormat="1" x14ac:dyDescent="0.3">
      <c r="A4" s="41"/>
      <c r="B4" s="67" t="s">
        <v>407</v>
      </c>
      <c r="C4" s="32"/>
      <c r="D4" s="32"/>
      <c r="E4" s="32"/>
      <c r="F4" s="32"/>
      <c r="G4" s="72"/>
      <c r="H4" s="33"/>
      <c r="I4" s="71"/>
      <c r="J4" s="32"/>
      <c r="K4" s="76" t="s">
        <v>408</v>
      </c>
      <c r="L4" s="42"/>
      <c r="AA4" s="117" t="s">
        <v>127</v>
      </c>
    </row>
    <row r="5" spans="1:27" x14ac:dyDescent="0.3">
      <c r="A5" s="11"/>
      <c r="B5" s="36"/>
      <c r="C5" s="13"/>
      <c r="D5" s="13"/>
      <c r="E5" s="13"/>
      <c r="F5" s="13"/>
      <c r="G5" s="34"/>
      <c r="H5" s="33"/>
      <c r="I5" s="33"/>
      <c r="J5" s="13"/>
      <c r="K5" s="22"/>
      <c r="L5" s="15"/>
      <c r="AA5" s="3" t="s">
        <v>128</v>
      </c>
    </row>
    <row r="6" spans="1:27" x14ac:dyDescent="0.3">
      <c r="A6" s="11"/>
      <c r="B6" s="38" t="s">
        <v>118</v>
      </c>
      <c r="C6" s="13"/>
      <c r="D6" s="13"/>
      <c r="E6" s="13"/>
      <c r="F6" s="13"/>
      <c r="G6" s="34"/>
      <c r="H6" s="33"/>
      <c r="I6" s="33"/>
      <c r="J6" s="13"/>
      <c r="K6" s="22"/>
      <c r="L6" s="15"/>
      <c r="AA6" s="3" t="s">
        <v>129</v>
      </c>
    </row>
    <row r="7" spans="1:27" x14ac:dyDescent="0.3">
      <c r="A7" s="11"/>
      <c r="B7" s="30" t="s">
        <v>120</v>
      </c>
      <c r="C7" s="13"/>
      <c r="D7" s="13"/>
      <c r="E7" s="13"/>
      <c r="F7" s="13"/>
      <c r="G7" s="70"/>
      <c r="H7" s="33"/>
      <c r="I7" s="81"/>
      <c r="J7" s="32"/>
      <c r="K7" s="167" t="s">
        <v>122</v>
      </c>
      <c r="L7" s="15"/>
      <c r="AA7" s="3" t="s">
        <v>130</v>
      </c>
    </row>
    <row r="8" spans="1:27" x14ac:dyDescent="0.3">
      <c r="A8" s="11"/>
      <c r="B8" s="67" t="s">
        <v>119</v>
      </c>
      <c r="C8" s="13"/>
      <c r="D8" s="13"/>
      <c r="E8" s="13"/>
      <c r="F8" s="13"/>
      <c r="G8" s="72"/>
      <c r="H8" s="33"/>
      <c r="I8" s="71"/>
      <c r="J8" s="32"/>
      <c r="K8" s="167" t="s">
        <v>121</v>
      </c>
      <c r="L8" s="15"/>
      <c r="AA8" s="3" t="s">
        <v>131</v>
      </c>
    </row>
    <row r="9" spans="1:27" x14ac:dyDescent="0.3">
      <c r="A9" s="11"/>
      <c r="B9" s="36"/>
      <c r="C9" s="13"/>
      <c r="D9" s="13"/>
      <c r="E9" s="13"/>
      <c r="F9" s="13"/>
      <c r="G9" s="34"/>
      <c r="H9" s="33"/>
      <c r="I9" s="33"/>
      <c r="J9" s="13"/>
      <c r="K9" s="22"/>
      <c r="L9" s="15"/>
      <c r="AA9" s="3" t="s">
        <v>132</v>
      </c>
    </row>
    <row r="10" spans="1:27" x14ac:dyDescent="0.3">
      <c r="A10" s="11"/>
      <c r="B10" s="39" t="s">
        <v>123</v>
      </c>
      <c r="C10" s="13"/>
      <c r="D10" s="13"/>
      <c r="E10" s="13"/>
      <c r="F10" s="13"/>
      <c r="G10" s="34"/>
      <c r="H10" s="33"/>
      <c r="I10" s="33"/>
      <c r="J10" s="13"/>
      <c r="K10" s="22"/>
      <c r="L10" s="15"/>
      <c r="AA10" s="3"/>
    </row>
    <row r="11" spans="1:27" x14ac:dyDescent="0.3">
      <c r="A11" s="11"/>
      <c r="B11" s="172" t="s">
        <v>369</v>
      </c>
      <c r="C11" s="13"/>
      <c r="D11" s="13"/>
      <c r="E11" s="13"/>
      <c r="F11" s="13"/>
      <c r="G11" s="70"/>
      <c r="H11" s="33"/>
      <c r="I11" s="33"/>
      <c r="J11" s="13"/>
      <c r="K11" s="22"/>
      <c r="L11" s="15"/>
      <c r="AA11" s="3"/>
    </row>
    <row r="12" spans="1:27" x14ac:dyDescent="0.3">
      <c r="A12" s="11"/>
      <c r="B12" s="172"/>
      <c r="C12" s="13"/>
      <c r="D12" s="116" t="s">
        <v>125</v>
      </c>
      <c r="E12" s="116" t="s">
        <v>124</v>
      </c>
      <c r="F12" s="13"/>
      <c r="G12" s="33"/>
      <c r="H12" s="33"/>
      <c r="I12" s="33"/>
      <c r="J12" s="13"/>
      <c r="K12" s="22"/>
      <c r="L12" s="15"/>
      <c r="AA12" s="3"/>
    </row>
    <row r="13" spans="1:27" x14ac:dyDescent="0.3">
      <c r="A13" s="11"/>
      <c r="B13" s="65" t="s">
        <v>133</v>
      </c>
      <c r="C13" s="13"/>
      <c r="D13" s="70"/>
      <c r="E13" s="70"/>
      <c r="F13" s="13"/>
      <c r="G13" s="70"/>
      <c r="H13" s="33"/>
      <c r="I13" s="71"/>
      <c r="J13" s="13"/>
      <c r="K13" s="22"/>
      <c r="L13" s="15"/>
    </row>
    <row r="14" spans="1:27" x14ac:dyDescent="0.3">
      <c r="A14" s="11"/>
      <c r="B14" s="65" t="s">
        <v>133</v>
      </c>
      <c r="C14" s="13"/>
      <c r="D14" s="70"/>
      <c r="E14" s="70"/>
      <c r="F14" s="13"/>
      <c r="G14" s="70"/>
      <c r="H14" s="33"/>
      <c r="I14" s="71"/>
      <c r="J14" s="13"/>
      <c r="K14" s="22"/>
      <c r="L14" s="15"/>
    </row>
    <row r="15" spans="1:27" x14ac:dyDescent="0.3">
      <c r="A15" s="11"/>
      <c r="B15" s="65" t="s">
        <v>133</v>
      </c>
      <c r="C15" s="13"/>
      <c r="D15" s="70"/>
      <c r="E15" s="70"/>
      <c r="F15" s="13"/>
      <c r="G15" s="70"/>
      <c r="H15" s="33"/>
      <c r="I15" s="71"/>
      <c r="J15" s="13"/>
      <c r="K15" s="22"/>
      <c r="L15" s="15"/>
    </row>
    <row r="16" spans="1:27" x14ac:dyDescent="0.3">
      <c r="A16" s="11"/>
      <c r="B16" s="65" t="s">
        <v>133</v>
      </c>
      <c r="C16" s="13"/>
      <c r="D16" s="70"/>
      <c r="E16" s="70"/>
      <c r="F16" s="13"/>
      <c r="G16" s="70"/>
      <c r="H16" s="33"/>
      <c r="I16" s="71"/>
      <c r="J16" s="13"/>
      <c r="K16" s="22"/>
      <c r="L16" s="15"/>
    </row>
    <row r="17" spans="1:14" x14ac:dyDescent="0.3">
      <c r="A17" s="11"/>
      <c r="B17" s="65" t="s">
        <v>133</v>
      </c>
      <c r="C17" s="13"/>
      <c r="D17" s="70"/>
      <c r="E17" s="70"/>
      <c r="F17" s="13"/>
      <c r="G17" s="70"/>
      <c r="H17" s="33"/>
      <c r="I17" s="71"/>
      <c r="J17" s="13"/>
      <c r="K17" s="22"/>
      <c r="L17" s="15"/>
    </row>
    <row r="18" spans="1:14" x14ac:dyDescent="0.3">
      <c r="A18" s="11"/>
      <c r="B18" s="65" t="s">
        <v>133</v>
      </c>
      <c r="C18" s="13"/>
      <c r="D18" s="70"/>
      <c r="E18" s="70"/>
      <c r="F18" s="13"/>
      <c r="G18" s="70"/>
      <c r="H18" s="33"/>
      <c r="I18" s="71"/>
      <c r="J18" s="13"/>
      <c r="K18" s="22"/>
      <c r="L18" s="15"/>
      <c r="M18" s="3"/>
      <c r="N18" s="3"/>
    </row>
    <row r="19" spans="1:14" x14ac:dyDescent="0.3">
      <c r="A19" s="11"/>
      <c r="B19" s="65" t="s">
        <v>133</v>
      </c>
      <c r="C19" s="13"/>
      <c r="D19" s="70"/>
      <c r="E19" s="70"/>
      <c r="F19" s="13"/>
      <c r="G19" s="70"/>
      <c r="H19" s="33"/>
      <c r="I19" s="71"/>
      <c r="J19" s="13"/>
      <c r="K19" s="22"/>
      <c r="L19" s="15"/>
      <c r="M19" s="3"/>
      <c r="N19" s="3"/>
    </row>
    <row r="20" spans="1:14" x14ac:dyDescent="0.3">
      <c r="A20" s="11"/>
      <c r="B20" s="65" t="s">
        <v>133</v>
      </c>
      <c r="C20" s="13"/>
      <c r="D20" s="70"/>
      <c r="E20" s="70"/>
      <c r="F20" s="13"/>
      <c r="G20" s="70"/>
      <c r="H20" s="33"/>
      <c r="I20" s="71"/>
      <c r="J20" s="13"/>
      <c r="K20" s="22"/>
      <c r="L20" s="15"/>
    </row>
    <row r="21" spans="1:14" x14ac:dyDescent="0.3">
      <c r="A21" s="11"/>
      <c r="B21" s="118" t="s">
        <v>133</v>
      </c>
      <c r="C21" s="13"/>
      <c r="D21" s="70"/>
      <c r="E21" s="70"/>
      <c r="F21" s="13"/>
      <c r="G21" s="70"/>
      <c r="H21" s="33"/>
      <c r="I21" s="71"/>
      <c r="J21" s="13"/>
      <c r="K21" s="22"/>
      <c r="L21" s="15"/>
      <c r="M21" s="3"/>
      <c r="N21" s="3"/>
    </row>
    <row r="22" spans="1:14" x14ac:dyDescent="0.3">
      <c r="A22" s="11"/>
      <c r="B22" s="118" t="s">
        <v>133</v>
      </c>
      <c r="C22" s="13"/>
      <c r="D22" s="70"/>
      <c r="E22" s="70"/>
      <c r="F22" s="13"/>
      <c r="G22" s="70"/>
      <c r="H22" s="33"/>
      <c r="I22" s="71"/>
      <c r="J22" s="13"/>
      <c r="K22" s="22"/>
      <c r="L22" s="15"/>
      <c r="M22" s="3"/>
      <c r="N22" s="3"/>
    </row>
    <row r="23" spans="1:14" x14ac:dyDescent="0.3">
      <c r="A23" s="11"/>
      <c r="B23" s="118" t="s">
        <v>133</v>
      </c>
      <c r="C23" s="13"/>
      <c r="D23" s="70"/>
      <c r="E23" s="70"/>
      <c r="F23" s="13"/>
      <c r="G23" s="70"/>
      <c r="H23" s="33"/>
      <c r="I23" s="71"/>
      <c r="J23" s="13"/>
      <c r="K23" s="22"/>
      <c r="L23" s="15"/>
      <c r="M23" s="3"/>
      <c r="N23" s="3"/>
    </row>
    <row r="24" spans="1:14" x14ac:dyDescent="0.3">
      <c r="A24" s="11"/>
      <c r="B24" s="118" t="s">
        <v>133</v>
      </c>
      <c r="C24" s="13"/>
      <c r="D24" s="70"/>
      <c r="E24" s="70"/>
      <c r="F24" s="13"/>
      <c r="G24" s="70"/>
      <c r="H24" s="33"/>
      <c r="I24" s="71"/>
      <c r="J24" s="13"/>
      <c r="K24" s="22"/>
      <c r="L24" s="15"/>
      <c r="M24" s="3"/>
      <c r="N24" s="3"/>
    </row>
    <row r="25" spans="1:14" x14ac:dyDescent="0.3">
      <c r="A25" s="11"/>
      <c r="B25" s="118" t="s">
        <v>133</v>
      </c>
      <c r="C25" s="13"/>
      <c r="D25" s="70"/>
      <c r="E25" s="70"/>
      <c r="F25" s="13"/>
      <c r="G25" s="70"/>
      <c r="H25" s="33"/>
      <c r="I25" s="71"/>
      <c r="J25" s="13"/>
      <c r="K25" s="22"/>
      <c r="L25" s="15"/>
      <c r="M25" s="3"/>
      <c r="N25" s="3"/>
    </row>
    <row r="26" spans="1:14" x14ac:dyDescent="0.3">
      <c r="A26" s="11"/>
      <c r="B26" s="118" t="s">
        <v>133</v>
      </c>
      <c r="C26" s="13"/>
      <c r="D26" s="70"/>
      <c r="E26" s="70"/>
      <c r="F26" s="13"/>
      <c r="G26" s="70"/>
      <c r="H26" s="33"/>
      <c r="I26" s="71"/>
      <c r="J26" s="13"/>
      <c r="K26" s="22"/>
      <c r="L26" s="15"/>
    </row>
    <row r="27" spans="1:14" x14ac:dyDescent="0.3">
      <c r="A27" s="11"/>
      <c r="B27" s="65" t="s">
        <v>133</v>
      </c>
      <c r="C27" s="13"/>
      <c r="D27" s="70"/>
      <c r="E27" s="70"/>
      <c r="F27" s="13"/>
      <c r="G27" s="70"/>
      <c r="H27" s="33"/>
      <c r="I27" s="71"/>
      <c r="J27" s="13"/>
      <c r="K27" s="22"/>
      <c r="L27" s="15"/>
    </row>
    <row r="28" spans="1:14" x14ac:dyDescent="0.3">
      <c r="A28" s="11"/>
      <c r="B28" s="118" t="s">
        <v>133</v>
      </c>
      <c r="C28" s="13"/>
      <c r="D28" s="70"/>
      <c r="E28" s="70"/>
      <c r="F28" s="13"/>
      <c r="G28" s="70"/>
      <c r="H28" s="33"/>
      <c r="I28" s="71"/>
      <c r="J28" s="13"/>
      <c r="K28" s="22"/>
      <c r="L28" s="15"/>
    </row>
    <row r="29" spans="1:14" x14ac:dyDescent="0.3">
      <c r="A29" s="11"/>
      <c r="B29" s="65" t="s">
        <v>133</v>
      </c>
      <c r="C29" s="13"/>
      <c r="D29" s="70"/>
      <c r="E29" s="70"/>
      <c r="F29" s="13"/>
      <c r="G29" s="70"/>
      <c r="H29" s="33"/>
      <c r="I29" s="71"/>
      <c r="J29" s="13"/>
      <c r="K29" s="22"/>
      <c r="L29" s="15"/>
    </row>
    <row r="30" spans="1:14" x14ac:dyDescent="0.3">
      <c r="A30" s="11"/>
      <c r="B30" s="66" t="s">
        <v>133</v>
      </c>
      <c r="C30" s="13"/>
      <c r="D30" s="70"/>
      <c r="E30" s="70"/>
      <c r="F30" s="13"/>
      <c r="G30" s="70"/>
      <c r="H30" s="33"/>
      <c r="I30" s="71"/>
      <c r="J30" s="13"/>
      <c r="K30" s="22"/>
      <c r="L30" s="15"/>
    </row>
    <row r="31" spans="1:14" x14ac:dyDescent="0.3">
      <c r="A31" s="16"/>
      <c r="B31" s="37"/>
      <c r="C31" s="17"/>
      <c r="D31" s="17"/>
      <c r="E31" s="17"/>
      <c r="F31" s="17"/>
      <c r="G31" s="18"/>
      <c r="H31" s="17"/>
      <c r="I31" s="17"/>
      <c r="J31" s="17"/>
      <c r="K31" s="44"/>
      <c r="L31" s="19"/>
    </row>
    <row r="32" spans="1:14" x14ac:dyDescent="0.3">
      <c r="H32" s="12"/>
    </row>
    <row r="33" spans="8:8" x14ac:dyDescent="0.3">
      <c r="H33" s="12"/>
    </row>
    <row r="34" spans="8:8" x14ac:dyDescent="0.3">
      <c r="H34" s="12"/>
    </row>
    <row r="35" spans="8:8" x14ac:dyDescent="0.3">
      <c r="H35" s="12"/>
    </row>
    <row r="36" spans="8:8" x14ac:dyDescent="0.3">
      <c r="H36" s="12"/>
    </row>
    <row r="37" spans="8:8" x14ac:dyDescent="0.3">
      <c r="H37" s="12"/>
    </row>
    <row r="38" spans="8:8" x14ac:dyDescent="0.3">
      <c r="H38" s="12"/>
    </row>
    <row r="39" spans="8:8" x14ac:dyDescent="0.3">
      <c r="H39" s="12"/>
    </row>
    <row r="40" spans="8:8" x14ac:dyDescent="0.3">
      <c r="H40" s="12"/>
    </row>
    <row r="41" spans="8:8" x14ac:dyDescent="0.3">
      <c r="H41" s="12"/>
    </row>
    <row r="42" spans="8:8" x14ac:dyDescent="0.3">
      <c r="H42" s="12"/>
    </row>
    <row r="43" spans="8:8" x14ac:dyDescent="0.3">
      <c r="H43" s="12"/>
    </row>
    <row r="44" spans="8:8" x14ac:dyDescent="0.3">
      <c r="H44" s="12"/>
    </row>
    <row r="45" spans="8:8" x14ac:dyDescent="0.3">
      <c r="H45" s="12"/>
    </row>
    <row r="46" spans="8:8" x14ac:dyDescent="0.3">
      <c r="H46" s="12"/>
    </row>
    <row r="47" spans="8:8" x14ac:dyDescent="0.3">
      <c r="H47" s="12"/>
    </row>
    <row r="48" spans="8:8" x14ac:dyDescent="0.3">
      <c r="H48" s="12"/>
    </row>
    <row r="49" spans="8:8" x14ac:dyDescent="0.3">
      <c r="H49" s="12"/>
    </row>
    <row r="50" spans="8:8" x14ac:dyDescent="0.3">
      <c r="H50" s="12"/>
    </row>
    <row r="51" spans="8:8" x14ac:dyDescent="0.3">
      <c r="H51" s="12"/>
    </row>
    <row r="52" spans="8:8" x14ac:dyDescent="0.3">
      <c r="H52" s="12"/>
    </row>
    <row r="53" spans="8:8" x14ac:dyDescent="0.3">
      <c r="H53" s="12"/>
    </row>
  </sheetData>
  <conditionalFormatting sqref="D13:E30 G13:G30 I13:I30">
    <cfRule type="expression" dxfId="0" priority="1">
      <formula>LEN($G$11)=2</formula>
    </cfRule>
  </conditionalFormatting>
  <dataValidations count="2">
    <dataValidation type="list" allowBlank="1" showInputMessage="1" showErrorMessage="1" sqref="G11" xr:uid="{00000000-0002-0000-0400-000000000000}">
      <formula1>$P$1:$P$2</formula1>
    </dataValidation>
    <dataValidation type="list" allowBlank="1" showInputMessage="1" showErrorMessage="1" sqref="D13:D30" xr:uid="{00000000-0002-0000-0400-000001000000}">
      <formula1>$AA$3:$AA$9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I13"/>
  <sheetViews>
    <sheetView workbookViewId="0"/>
  </sheetViews>
  <sheetFormatPr defaultRowHeight="14.4" x14ac:dyDescent="0.3"/>
  <cols>
    <col min="1" max="1" width="3.6640625" customWidth="1"/>
    <col min="2" max="2" width="36" bestFit="1" customWidth="1"/>
    <col min="3" max="3" width="2.88671875"/>
    <col min="4" max="4" width="31.88671875" bestFit="1" customWidth="1"/>
    <col min="5" max="5" width="2.88671875"/>
    <col min="6" max="6" width="32.44140625" customWidth="1"/>
    <col min="7" max="7" width="2.88671875"/>
    <col min="8" max="8" width="48.33203125" bestFit="1" customWidth="1"/>
    <col min="9" max="9" width="2.88671875"/>
  </cols>
  <sheetData>
    <row r="1" spans="1:9" x14ac:dyDescent="0.3">
      <c r="A1" s="47"/>
      <c r="B1" s="48"/>
      <c r="C1" s="9"/>
      <c r="D1" s="49" t="s">
        <v>30</v>
      </c>
      <c r="E1" s="48"/>
      <c r="F1" s="49" t="s">
        <v>23</v>
      </c>
      <c r="G1" s="48"/>
      <c r="H1" s="31" t="s">
        <v>52</v>
      </c>
      <c r="I1" s="50"/>
    </row>
    <row r="2" spans="1:9" x14ac:dyDescent="0.3">
      <c r="A2" s="52"/>
      <c r="B2" s="27" t="s">
        <v>134</v>
      </c>
      <c r="C2" s="13"/>
      <c r="D2" s="21" t="str">
        <f>General!D5</f>
        <v>Alexander Shafer</v>
      </c>
      <c r="E2" s="13"/>
      <c r="F2" s="21">
        <f>General!F6</f>
        <v>0</v>
      </c>
      <c r="G2" s="53"/>
      <c r="H2" s="22"/>
      <c r="I2" s="54"/>
    </row>
    <row r="3" spans="1:9" x14ac:dyDescent="0.3">
      <c r="A3" s="52"/>
      <c r="B3" s="65" t="s">
        <v>402</v>
      </c>
      <c r="C3" s="32"/>
      <c r="D3" s="73"/>
      <c r="E3" s="74"/>
      <c r="F3" s="80"/>
      <c r="G3" s="53"/>
      <c r="H3" s="167" t="s">
        <v>403</v>
      </c>
      <c r="I3" s="54"/>
    </row>
    <row r="4" spans="1:9" x14ac:dyDescent="0.3">
      <c r="A4" s="52"/>
      <c r="B4" s="65" t="s">
        <v>401</v>
      </c>
      <c r="C4" s="32"/>
      <c r="D4" s="73"/>
      <c r="E4" s="74"/>
      <c r="F4" s="80"/>
      <c r="G4" s="53"/>
      <c r="H4" s="76" t="s">
        <v>404</v>
      </c>
      <c r="I4" s="54"/>
    </row>
    <row r="5" spans="1:9" ht="28.8" x14ac:dyDescent="0.3">
      <c r="A5" s="52"/>
      <c r="B5" s="65" t="s">
        <v>135</v>
      </c>
      <c r="C5" s="32"/>
      <c r="D5" s="73"/>
      <c r="E5" s="74"/>
      <c r="F5" s="80"/>
      <c r="G5" s="53"/>
      <c r="H5" s="167" t="s">
        <v>139</v>
      </c>
      <c r="I5" s="54"/>
    </row>
    <row r="6" spans="1:9" x14ac:dyDescent="0.3">
      <c r="A6" s="52"/>
      <c r="B6" s="45" t="s">
        <v>405</v>
      </c>
      <c r="C6" s="32"/>
      <c r="D6" s="34"/>
      <c r="E6" s="74"/>
      <c r="F6" s="34"/>
      <c r="G6" s="53"/>
      <c r="H6" s="34"/>
      <c r="I6" s="54"/>
    </row>
    <row r="7" spans="1:9" x14ac:dyDescent="0.3">
      <c r="A7" s="52"/>
      <c r="B7" s="64" t="s">
        <v>137</v>
      </c>
      <c r="C7" s="32"/>
      <c r="D7" s="73"/>
      <c r="E7" s="74"/>
      <c r="F7" s="80"/>
      <c r="G7" s="53"/>
      <c r="H7" s="76" t="b">
        <v>0</v>
      </c>
      <c r="I7" s="54"/>
    </row>
    <row r="8" spans="1:9" x14ac:dyDescent="0.3">
      <c r="A8" s="52"/>
      <c r="B8" s="66" t="s">
        <v>136</v>
      </c>
      <c r="C8" s="32"/>
      <c r="D8" s="73"/>
      <c r="E8" s="13"/>
      <c r="F8" s="73"/>
      <c r="G8" s="53"/>
      <c r="H8" s="76" t="s">
        <v>140</v>
      </c>
      <c r="I8" s="54"/>
    </row>
    <row r="9" spans="1:9" x14ac:dyDescent="0.3">
      <c r="A9" s="52"/>
      <c r="B9" s="53"/>
      <c r="C9" s="13"/>
      <c r="D9" s="181"/>
      <c r="E9" s="53"/>
      <c r="F9" s="53"/>
      <c r="G9" s="53"/>
      <c r="H9" s="22"/>
      <c r="I9" s="54"/>
    </row>
    <row r="10" spans="1:9" x14ac:dyDescent="0.3">
      <c r="A10" s="52"/>
      <c r="B10" s="27" t="s">
        <v>144</v>
      </c>
      <c r="C10" s="32"/>
      <c r="D10" s="34"/>
      <c r="E10" s="74"/>
      <c r="F10" s="34"/>
      <c r="G10" s="53"/>
      <c r="H10" s="34"/>
      <c r="I10" s="54"/>
    </row>
    <row r="11" spans="1:9" x14ac:dyDescent="0.3">
      <c r="A11" s="52"/>
      <c r="B11" s="65" t="s">
        <v>138</v>
      </c>
      <c r="C11" s="32"/>
      <c r="D11" s="73"/>
      <c r="E11" s="74"/>
      <c r="F11" s="80"/>
      <c r="G11" s="53"/>
      <c r="H11" s="76" t="s">
        <v>142</v>
      </c>
      <c r="I11" s="54"/>
    </row>
    <row r="12" spans="1:9" x14ac:dyDescent="0.3">
      <c r="A12" s="52"/>
      <c r="B12" s="66" t="s">
        <v>141</v>
      </c>
      <c r="C12" s="32"/>
      <c r="D12" s="73"/>
      <c r="E12" s="74"/>
      <c r="F12" s="80"/>
      <c r="G12" s="53"/>
      <c r="H12" s="76" t="s">
        <v>143</v>
      </c>
      <c r="I12" s="54"/>
    </row>
    <row r="13" spans="1:9" x14ac:dyDescent="0.3">
      <c r="A13" s="57"/>
      <c r="B13" s="58"/>
      <c r="C13" s="17"/>
      <c r="D13" s="59"/>
      <c r="E13" s="58"/>
      <c r="F13" s="58"/>
      <c r="G13" s="58"/>
      <c r="H13" s="44"/>
      <c r="I13" s="6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A1:I6"/>
  <sheetViews>
    <sheetView workbookViewId="0"/>
  </sheetViews>
  <sheetFormatPr defaultRowHeight="14.4" x14ac:dyDescent="0.3"/>
  <cols>
    <col min="1" max="1" width="2.6640625" customWidth="1"/>
    <col min="2" max="2" width="38.109375" bestFit="1" customWidth="1"/>
    <col min="3" max="3" width="2.6640625" customWidth="1"/>
    <col min="4" max="4" width="31.88671875" bestFit="1" customWidth="1"/>
    <col min="5" max="5" width="2.6640625" customWidth="1"/>
    <col min="6" max="6" width="32.44140625" customWidth="1"/>
    <col min="7" max="7" width="2.6640625" customWidth="1"/>
    <col min="8" max="8" width="46.88671875" bestFit="1" customWidth="1"/>
    <col min="9" max="9" width="2.6640625" customWidth="1"/>
  </cols>
  <sheetData>
    <row r="1" spans="1:9" x14ac:dyDescent="0.3">
      <c r="A1" s="9"/>
      <c r="B1" s="48"/>
      <c r="C1" s="9"/>
      <c r="D1" s="49" t="s">
        <v>30</v>
      </c>
      <c r="E1" s="48"/>
      <c r="F1" s="49" t="s">
        <v>23</v>
      </c>
      <c r="G1" s="48"/>
      <c r="H1" s="31" t="s">
        <v>52</v>
      </c>
      <c r="I1" s="50"/>
    </row>
    <row r="2" spans="1:9" x14ac:dyDescent="0.3">
      <c r="A2" s="13"/>
      <c r="B2" s="27" t="s">
        <v>145</v>
      </c>
      <c r="C2" s="13"/>
      <c r="D2" s="21" t="str">
        <f>General!D5</f>
        <v>Alexander Shafer</v>
      </c>
      <c r="E2" s="13"/>
      <c r="F2" s="21">
        <f>General!F6</f>
        <v>0</v>
      </c>
      <c r="G2" s="53"/>
      <c r="H2" s="22"/>
      <c r="I2" s="54"/>
    </row>
    <row r="3" spans="1:9" x14ac:dyDescent="0.3">
      <c r="A3" s="32"/>
      <c r="B3" s="65" t="s">
        <v>146</v>
      </c>
      <c r="C3" s="32"/>
      <c r="D3" s="80" t="str">
        <f>IF(General!D3="NO","N/A","")</f>
        <v/>
      </c>
      <c r="E3" s="74"/>
      <c r="F3" s="80" t="str">
        <f>IF(General!D3="NO","N/A","")</f>
        <v/>
      </c>
      <c r="G3" s="53"/>
      <c r="H3" s="76" t="s">
        <v>147</v>
      </c>
      <c r="I3" s="54"/>
    </row>
    <row r="4" spans="1:9" x14ac:dyDescent="0.3">
      <c r="A4" s="32"/>
      <c r="B4" s="65" t="s">
        <v>148</v>
      </c>
      <c r="C4" s="32"/>
      <c r="D4" s="80" t="str">
        <f>IF(General!D3="NO","N/A","")</f>
        <v/>
      </c>
      <c r="E4" s="74"/>
      <c r="F4" s="80" t="str">
        <f>IF(General!D3="NO","N/A","")</f>
        <v/>
      </c>
      <c r="G4" s="53"/>
      <c r="H4" s="76" t="s">
        <v>400</v>
      </c>
      <c r="I4" s="54"/>
    </row>
    <row r="5" spans="1:9" ht="28.8" x14ac:dyDescent="0.3">
      <c r="A5" s="32"/>
      <c r="B5" s="66" t="s">
        <v>149</v>
      </c>
      <c r="C5" s="32"/>
      <c r="D5" s="80" t="str">
        <f>IF(General!D3="NO","N/A","")</f>
        <v/>
      </c>
      <c r="E5" s="74"/>
      <c r="F5" s="80" t="str">
        <f>IF(General!D3="NO","N/A","")</f>
        <v/>
      </c>
      <c r="G5" s="53"/>
      <c r="H5" s="76" t="s">
        <v>150</v>
      </c>
      <c r="I5" s="54"/>
    </row>
    <row r="6" spans="1:9" x14ac:dyDescent="0.3">
      <c r="A6" s="17"/>
      <c r="B6" s="58"/>
      <c r="C6" s="17"/>
      <c r="D6" s="59"/>
      <c r="E6" s="58"/>
      <c r="F6" s="58"/>
      <c r="G6" s="58"/>
      <c r="H6" s="44"/>
      <c r="I6" s="6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25"/>
  <sheetViews>
    <sheetView zoomScaleNormal="100" workbookViewId="0"/>
  </sheetViews>
  <sheetFormatPr defaultColWidth="2.88671875" defaultRowHeight="14.4" x14ac:dyDescent="0.3"/>
  <cols>
    <col min="2" max="2" width="31.88671875" bestFit="1" customWidth="1"/>
    <col min="3" max="3" width="2.88671875" style="2"/>
    <col min="4" max="4" width="27.5546875" style="1" customWidth="1"/>
    <col min="6" max="6" width="28.5546875" customWidth="1"/>
    <col min="7" max="7" width="2.88671875" style="2"/>
    <col min="8" max="8" width="40.6640625" style="1" bestFit="1" customWidth="1"/>
  </cols>
  <sheetData>
    <row r="1" spans="1:9" x14ac:dyDescent="0.3">
      <c r="A1" s="8"/>
      <c r="B1" s="9"/>
      <c r="C1" s="9"/>
      <c r="D1" s="20" t="s">
        <v>30</v>
      </c>
      <c r="E1" s="9"/>
      <c r="F1" s="20" t="s">
        <v>23</v>
      </c>
      <c r="G1" s="9"/>
      <c r="H1" s="31" t="s">
        <v>52</v>
      </c>
      <c r="I1" s="10"/>
    </row>
    <row r="2" spans="1:9" x14ac:dyDescent="0.3">
      <c r="A2" s="11"/>
      <c r="B2" s="27" t="s">
        <v>151</v>
      </c>
      <c r="C2" s="13"/>
      <c r="D2" s="21" t="str">
        <f>General!D5</f>
        <v>Alexander Shafer</v>
      </c>
      <c r="E2" s="13"/>
      <c r="F2" s="21">
        <f>General!F6</f>
        <v>0</v>
      </c>
      <c r="G2" s="13"/>
      <c r="H2" s="21"/>
      <c r="I2" s="15"/>
    </row>
    <row r="3" spans="1:9" x14ac:dyDescent="0.3">
      <c r="A3" s="11"/>
      <c r="B3" s="65" t="s">
        <v>152</v>
      </c>
      <c r="C3" s="32"/>
      <c r="D3" s="80" t="str">
        <f>IF(General!D3="NO","N/A","")</f>
        <v/>
      </c>
      <c r="E3" s="74"/>
      <c r="F3" s="80" t="str">
        <f>IF(General!D3="NO","N/A","")</f>
        <v/>
      </c>
      <c r="G3" s="53"/>
      <c r="H3" s="76" t="s">
        <v>155</v>
      </c>
      <c r="I3" s="15"/>
    </row>
    <row r="4" spans="1:9" x14ac:dyDescent="0.3">
      <c r="A4" s="11"/>
      <c r="B4" s="65" t="s">
        <v>153</v>
      </c>
      <c r="C4" s="32"/>
      <c r="D4" s="80" t="str">
        <f>IF(General!D3="NO","N/A","")</f>
        <v/>
      </c>
      <c r="E4" s="74"/>
      <c r="F4" s="80" t="str">
        <f>IF(General!D3="NO","N/A","")</f>
        <v/>
      </c>
      <c r="G4" s="53"/>
      <c r="H4" s="76" t="s">
        <v>156</v>
      </c>
      <c r="I4" s="15"/>
    </row>
    <row r="5" spans="1:9" x14ac:dyDescent="0.3">
      <c r="A5" s="11"/>
      <c r="B5" s="66" t="s">
        <v>154</v>
      </c>
      <c r="C5" s="32"/>
      <c r="D5" s="80" t="str">
        <f>IF(General!D3="NO","N/A","")</f>
        <v/>
      </c>
      <c r="E5" s="74"/>
      <c r="F5" s="80" t="str">
        <f>IF(General!D3="NO","N/A","")</f>
        <v/>
      </c>
      <c r="G5" s="53"/>
      <c r="H5" s="76" t="s">
        <v>157</v>
      </c>
      <c r="I5" s="15"/>
    </row>
    <row r="6" spans="1:9" x14ac:dyDescent="0.3">
      <c r="A6" s="16"/>
      <c r="B6" s="17"/>
      <c r="C6" s="17"/>
      <c r="D6" s="18"/>
      <c r="E6" s="17"/>
      <c r="F6" s="17"/>
      <c r="G6" s="17"/>
      <c r="H6" s="18"/>
      <c r="I6" s="19"/>
    </row>
    <row r="7" spans="1:9" x14ac:dyDescent="0.3">
      <c r="E7" s="12"/>
    </row>
    <row r="8" spans="1:9" x14ac:dyDescent="0.3">
      <c r="E8" s="12"/>
    </row>
    <row r="9" spans="1:9" x14ac:dyDescent="0.3">
      <c r="E9" s="12"/>
    </row>
    <row r="10" spans="1:9" x14ac:dyDescent="0.3">
      <c r="E10" s="12"/>
    </row>
    <row r="11" spans="1:9" x14ac:dyDescent="0.3">
      <c r="E11" s="12"/>
    </row>
    <row r="12" spans="1:9" x14ac:dyDescent="0.3">
      <c r="E12" s="12"/>
    </row>
    <row r="13" spans="1:9" x14ac:dyDescent="0.3">
      <c r="E13" s="12"/>
    </row>
    <row r="14" spans="1:9" x14ac:dyDescent="0.3">
      <c r="E14" s="12"/>
    </row>
    <row r="15" spans="1:9" x14ac:dyDescent="0.3">
      <c r="E15" s="12"/>
    </row>
    <row r="16" spans="1:9" x14ac:dyDescent="0.3">
      <c r="E16" s="12"/>
    </row>
    <row r="17" spans="5:5" x14ac:dyDescent="0.3">
      <c r="E17" s="12"/>
    </row>
    <row r="18" spans="5:5" x14ac:dyDescent="0.3">
      <c r="E18" s="12"/>
    </row>
    <row r="19" spans="5:5" x14ac:dyDescent="0.3">
      <c r="E19" s="12"/>
    </row>
    <row r="20" spans="5:5" x14ac:dyDescent="0.3">
      <c r="E20" s="12"/>
    </row>
    <row r="21" spans="5:5" x14ac:dyDescent="0.3">
      <c r="E21" s="12"/>
    </row>
    <row r="22" spans="5:5" x14ac:dyDescent="0.3">
      <c r="E22" s="12"/>
    </row>
    <row r="23" spans="5:5" x14ac:dyDescent="0.3">
      <c r="E23" s="12"/>
    </row>
    <row r="24" spans="5:5" x14ac:dyDescent="0.3">
      <c r="E24" s="12"/>
    </row>
    <row r="25" spans="5:5" x14ac:dyDescent="0.3">
      <c r="E25" s="12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I29"/>
  <sheetViews>
    <sheetView zoomScaleNormal="100" workbookViewId="0"/>
  </sheetViews>
  <sheetFormatPr defaultColWidth="2.88671875" defaultRowHeight="14.4" x14ac:dyDescent="0.3"/>
  <cols>
    <col min="2" max="2" width="47.109375" bestFit="1" customWidth="1"/>
    <col min="3" max="3" width="2.88671875" style="2"/>
    <col min="4" max="4" width="27.5546875" style="1" customWidth="1"/>
    <col min="6" max="6" width="28.5546875" customWidth="1"/>
    <col min="8" max="8" width="52.44140625" customWidth="1"/>
  </cols>
  <sheetData>
    <row r="1" spans="1:9" x14ac:dyDescent="0.3">
      <c r="A1" s="8"/>
      <c r="B1" s="9"/>
      <c r="C1" s="9"/>
      <c r="D1" s="20" t="s">
        <v>30</v>
      </c>
      <c r="E1" s="9"/>
      <c r="F1" s="20" t="s">
        <v>23</v>
      </c>
      <c r="G1" s="9"/>
      <c r="H1" s="22"/>
      <c r="I1" s="54"/>
    </row>
    <row r="2" spans="1:9" x14ac:dyDescent="0.3">
      <c r="A2" s="11"/>
      <c r="B2" s="27" t="s">
        <v>158</v>
      </c>
      <c r="C2" s="13"/>
      <c r="D2" s="21" t="str">
        <f>General!D5</f>
        <v>Alexander Shafer</v>
      </c>
      <c r="E2" s="13"/>
      <c r="F2" s="21">
        <f>General!F6</f>
        <v>0</v>
      </c>
      <c r="G2" s="13"/>
      <c r="H2" s="22"/>
      <c r="I2" s="54"/>
    </row>
    <row r="3" spans="1:9" x14ac:dyDescent="0.3">
      <c r="A3" s="11"/>
      <c r="B3" s="46" t="s">
        <v>159</v>
      </c>
      <c r="C3" s="13"/>
      <c r="D3" s="70"/>
      <c r="E3" s="33"/>
      <c r="F3" s="71"/>
      <c r="G3" s="13"/>
      <c r="H3" s="76">
        <v>500</v>
      </c>
      <c r="I3" s="54"/>
    </row>
    <row r="4" spans="1:9" x14ac:dyDescent="0.3">
      <c r="A4" s="11"/>
      <c r="B4" s="29" t="s">
        <v>160</v>
      </c>
      <c r="C4" s="13"/>
      <c r="D4" s="70"/>
      <c r="E4" s="33"/>
      <c r="F4" s="71"/>
      <c r="G4" s="13"/>
      <c r="H4" s="76" t="s">
        <v>161</v>
      </c>
      <c r="I4" s="54"/>
    </row>
    <row r="5" spans="1:9" x14ac:dyDescent="0.3">
      <c r="A5" s="11"/>
      <c r="B5" s="13"/>
      <c r="C5" s="13"/>
      <c r="D5" s="14"/>
      <c r="E5" s="13"/>
      <c r="F5" s="13"/>
      <c r="G5" s="13"/>
      <c r="H5" s="22"/>
      <c r="I5" s="54"/>
    </row>
    <row r="6" spans="1:9" x14ac:dyDescent="0.3">
      <c r="A6" s="11"/>
      <c r="B6" s="180" t="s">
        <v>162</v>
      </c>
      <c r="C6" s="13"/>
      <c r="D6" s="22"/>
      <c r="E6" s="33"/>
      <c r="F6" s="22"/>
      <c r="G6" s="13"/>
      <c r="H6" s="22"/>
      <c r="I6" s="54"/>
    </row>
    <row r="7" spans="1:9" x14ac:dyDescent="0.3">
      <c r="A7" s="11"/>
      <c r="B7" s="28" t="s">
        <v>163</v>
      </c>
      <c r="C7" s="13"/>
      <c r="D7" s="75"/>
      <c r="E7" s="33"/>
      <c r="F7" s="71"/>
      <c r="G7" s="13"/>
      <c r="H7" s="76" t="s">
        <v>397</v>
      </c>
      <c r="I7" s="54"/>
    </row>
    <row r="8" spans="1:9" x14ac:dyDescent="0.3">
      <c r="A8" s="11"/>
      <c r="B8" s="28" t="s">
        <v>164</v>
      </c>
      <c r="C8" s="13"/>
      <c r="D8" s="75"/>
      <c r="E8" s="33"/>
      <c r="F8" s="71"/>
      <c r="G8" s="13"/>
      <c r="H8" s="167" t="s">
        <v>165</v>
      </c>
      <c r="I8" s="54"/>
    </row>
    <row r="9" spans="1:9" x14ac:dyDescent="0.3">
      <c r="A9" s="11"/>
      <c r="B9" s="66" t="s">
        <v>398</v>
      </c>
      <c r="C9" s="13"/>
      <c r="D9" s="70"/>
      <c r="E9" s="33"/>
      <c r="F9" s="71"/>
      <c r="G9" s="13"/>
      <c r="H9" s="76" t="s">
        <v>399</v>
      </c>
      <c r="I9" s="54"/>
    </row>
    <row r="10" spans="1:9" x14ac:dyDescent="0.3">
      <c r="A10" s="16"/>
      <c r="B10" s="17"/>
      <c r="C10" s="17"/>
      <c r="D10" s="18"/>
      <c r="E10" s="17"/>
      <c r="F10" s="17"/>
      <c r="G10" s="17"/>
      <c r="H10" s="44"/>
      <c r="I10" s="60"/>
    </row>
    <row r="11" spans="1:9" x14ac:dyDescent="0.3">
      <c r="E11" s="12"/>
    </row>
    <row r="12" spans="1:9" x14ac:dyDescent="0.3">
      <c r="E12" s="12"/>
    </row>
    <row r="13" spans="1:9" x14ac:dyDescent="0.3">
      <c r="E13" s="12"/>
    </row>
    <row r="14" spans="1:9" x14ac:dyDescent="0.3">
      <c r="E14" s="12"/>
    </row>
    <row r="15" spans="1:9" x14ac:dyDescent="0.3">
      <c r="E15" s="12"/>
    </row>
    <row r="16" spans="1:9" x14ac:dyDescent="0.3">
      <c r="E16" s="12"/>
    </row>
    <row r="17" spans="5:5" x14ac:dyDescent="0.3">
      <c r="E17" s="12"/>
    </row>
    <row r="18" spans="5:5" x14ac:dyDescent="0.3">
      <c r="E18" s="12"/>
    </row>
    <row r="19" spans="5:5" x14ac:dyDescent="0.3">
      <c r="E19" s="12"/>
    </row>
    <row r="20" spans="5:5" x14ac:dyDescent="0.3">
      <c r="E20" s="12"/>
    </row>
    <row r="21" spans="5:5" x14ac:dyDescent="0.3">
      <c r="E21" s="12"/>
    </row>
    <row r="22" spans="5:5" x14ac:dyDescent="0.3">
      <c r="E22" s="12"/>
    </row>
    <row r="23" spans="5:5" x14ac:dyDescent="0.3">
      <c r="E23" s="12"/>
    </row>
    <row r="24" spans="5:5" x14ac:dyDescent="0.3">
      <c r="E24" s="12"/>
    </row>
    <row r="25" spans="5:5" x14ac:dyDescent="0.3">
      <c r="E25" s="12"/>
    </row>
    <row r="26" spans="5:5" x14ac:dyDescent="0.3">
      <c r="E26" s="12"/>
    </row>
    <row r="27" spans="5:5" x14ac:dyDescent="0.3">
      <c r="E27" s="12"/>
    </row>
    <row r="28" spans="5:5" x14ac:dyDescent="0.3">
      <c r="E28" s="12"/>
    </row>
    <row r="29" spans="5:5" x14ac:dyDescent="0.3">
      <c r="E29" s="12"/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8"/>
  <dimension ref="A1:P49"/>
  <sheetViews>
    <sheetView zoomScaleNormal="100" workbookViewId="0"/>
  </sheetViews>
  <sheetFormatPr defaultColWidth="2.88671875" defaultRowHeight="14.4" x14ac:dyDescent="0.3"/>
  <cols>
    <col min="2" max="2" width="26.33203125" style="26" customWidth="1"/>
    <col min="3" max="3" width="2.88671875" style="2"/>
    <col min="4" max="4" width="16.44140625" style="2" bestFit="1" customWidth="1"/>
    <col min="5" max="5" width="9.88671875" style="2" customWidth="1"/>
    <col min="6" max="6" width="2.88671875" style="2"/>
    <col min="7" max="7" width="9.33203125" style="2" customWidth="1"/>
    <col min="8" max="8" width="2.88671875" style="2"/>
    <col min="9" max="9" width="19.33203125" style="1" customWidth="1"/>
    <col min="11" max="11" width="20" customWidth="1"/>
    <col min="13" max="13" width="34.44140625" style="40" customWidth="1"/>
  </cols>
  <sheetData>
    <row r="1" spans="1:16" x14ac:dyDescent="0.3">
      <c r="A1" s="8"/>
      <c r="B1" s="35"/>
      <c r="C1" s="9"/>
      <c r="D1" s="9"/>
      <c r="E1" s="9"/>
      <c r="F1" s="9"/>
      <c r="G1" s="9"/>
      <c r="H1" s="9"/>
      <c r="I1" s="20" t="s">
        <v>30</v>
      </c>
      <c r="J1" s="9"/>
      <c r="K1" s="20" t="s">
        <v>23</v>
      </c>
      <c r="L1" s="9"/>
      <c r="M1" s="31" t="s">
        <v>52</v>
      </c>
      <c r="N1" s="10"/>
    </row>
    <row r="2" spans="1:16" x14ac:dyDescent="0.3">
      <c r="A2" s="11"/>
      <c r="B2" s="38" t="s">
        <v>166</v>
      </c>
      <c r="C2" s="13"/>
      <c r="D2" s="13"/>
      <c r="E2" s="13"/>
      <c r="F2" s="13"/>
      <c r="G2" s="13"/>
      <c r="H2" s="13"/>
      <c r="I2" s="21" t="str">
        <f>General!D5</f>
        <v>Alexander Shafer</v>
      </c>
      <c r="J2" s="13"/>
      <c r="K2" s="21">
        <f>General!F6</f>
        <v>0</v>
      </c>
      <c r="L2" s="13"/>
      <c r="M2" s="22"/>
      <c r="N2" s="15"/>
    </row>
    <row r="3" spans="1:16" s="43" customFormat="1" x14ac:dyDescent="0.3">
      <c r="A3" s="41"/>
      <c r="B3" s="67" t="s">
        <v>167</v>
      </c>
      <c r="C3" s="32"/>
      <c r="D3" s="32"/>
      <c r="E3" s="32"/>
      <c r="F3" s="32"/>
      <c r="G3" s="32"/>
      <c r="H3" s="32"/>
      <c r="I3" s="70"/>
      <c r="J3" s="33"/>
      <c r="K3" s="81"/>
      <c r="L3" s="32"/>
      <c r="M3" s="76" t="s">
        <v>168</v>
      </c>
      <c r="N3" s="42"/>
    </row>
    <row r="4" spans="1:16" x14ac:dyDescent="0.3">
      <c r="A4" s="11"/>
      <c r="B4" s="36"/>
      <c r="C4" s="13"/>
      <c r="D4" s="13"/>
      <c r="E4" s="13"/>
      <c r="F4" s="13"/>
      <c r="G4" s="13"/>
      <c r="H4" s="13"/>
      <c r="I4" s="34"/>
      <c r="J4" s="33"/>
      <c r="K4" s="33"/>
      <c r="L4" s="13"/>
      <c r="M4" s="22"/>
      <c r="N4" s="15"/>
    </row>
    <row r="5" spans="1:16" ht="28.8" x14ac:dyDescent="0.3">
      <c r="A5" s="11"/>
      <c r="B5" s="120" t="s">
        <v>169</v>
      </c>
      <c r="C5" s="13"/>
      <c r="D5" s="76" t="s">
        <v>170</v>
      </c>
      <c r="E5" s="76" t="s">
        <v>171</v>
      </c>
      <c r="F5" s="33"/>
      <c r="G5" s="76" t="s">
        <v>172</v>
      </c>
      <c r="H5" s="13"/>
      <c r="I5" s="34"/>
      <c r="J5" s="33"/>
      <c r="K5" s="33"/>
      <c r="L5" s="13"/>
      <c r="M5" s="22"/>
      <c r="N5" s="15"/>
    </row>
    <row r="6" spans="1:16" x14ac:dyDescent="0.3">
      <c r="A6" s="11"/>
      <c r="B6" s="65"/>
      <c r="C6" s="13"/>
      <c r="D6" s="70"/>
      <c r="E6" s="70"/>
      <c r="F6" s="13"/>
      <c r="G6" s="116" t="str">
        <f>IF(D6="","",DEC2HEX(D6))</f>
        <v/>
      </c>
      <c r="H6" s="13"/>
      <c r="I6" s="70"/>
      <c r="J6" s="33"/>
      <c r="K6" s="71"/>
      <c r="L6" s="13"/>
      <c r="M6" s="196" t="s">
        <v>174</v>
      </c>
      <c r="N6" s="15"/>
    </row>
    <row r="7" spans="1:16" x14ac:dyDescent="0.3">
      <c r="A7" s="11"/>
      <c r="B7" s="65"/>
      <c r="C7" s="13"/>
      <c r="D7" s="70"/>
      <c r="E7" s="70"/>
      <c r="F7" s="13"/>
      <c r="G7" s="116" t="str">
        <f t="shared" ref="G7:G26" si="0">IF(D7="","",DEC2HEX(D7))</f>
        <v/>
      </c>
      <c r="H7" s="13"/>
      <c r="I7" s="70"/>
      <c r="J7" s="33"/>
      <c r="K7" s="71"/>
      <c r="L7" s="13"/>
      <c r="M7" s="196"/>
      <c r="N7" s="15"/>
    </row>
    <row r="8" spans="1:16" x14ac:dyDescent="0.3">
      <c r="A8" s="11"/>
      <c r="B8" s="65"/>
      <c r="C8" s="13"/>
      <c r="D8" s="70"/>
      <c r="E8" s="70"/>
      <c r="F8" s="13"/>
      <c r="G8" s="116" t="str">
        <f t="shared" si="0"/>
        <v/>
      </c>
      <c r="H8" s="13"/>
      <c r="I8" s="70"/>
      <c r="J8" s="33"/>
      <c r="K8" s="71"/>
      <c r="L8" s="13"/>
      <c r="M8" s="22"/>
      <c r="N8" s="15"/>
    </row>
    <row r="9" spans="1:16" x14ac:dyDescent="0.3">
      <c r="A9" s="11"/>
      <c r="B9" s="65"/>
      <c r="C9" s="13"/>
      <c r="D9" s="70"/>
      <c r="E9" s="70"/>
      <c r="F9" s="13"/>
      <c r="G9" s="116" t="str">
        <f t="shared" si="0"/>
        <v/>
      </c>
      <c r="H9" s="13"/>
      <c r="I9" s="70"/>
      <c r="J9" s="33"/>
      <c r="K9" s="71"/>
      <c r="L9" s="13"/>
      <c r="M9" s="119" t="s">
        <v>175</v>
      </c>
      <c r="N9" s="15"/>
    </row>
    <row r="10" spans="1:16" x14ac:dyDescent="0.3">
      <c r="A10" s="11"/>
      <c r="B10" s="65"/>
      <c r="C10" s="13"/>
      <c r="D10" s="70"/>
      <c r="E10" s="70"/>
      <c r="F10" s="13"/>
      <c r="G10" s="116" t="str">
        <f t="shared" si="0"/>
        <v/>
      </c>
      <c r="H10" s="13"/>
      <c r="I10" s="70"/>
      <c r="J10" s="33"/>
      <c r="K10" s="71"/>
      <c r="L10" s="13"/>
      <c r="M10" s="122"/>
      <c r="N10" s="15"/>
    </row>
    <row r="11" spans="1:16" x14ac:dyDescent="0.3">
      <c r="A11" s="11"/>
      <c r="B11" s="65"/>
      <c r="C11" s="13"/>
      <c r="D11" s="70"/>
      <c r="E11" s="70"/>
      <c r="F11" s="13"/>
      <c r="G11" s="116" t="str">
        <f t="shared" si="0"/>
        <v/>
      </c>
      <c r="H11" s="13"/>
      <c r="I11" s="70"/>
      <c r="J11" s="33"/>
      <c r="K11" s="71"/>
      <c r="L11" s="13"/>
      <c r="M11" s="22"/>
      <c r="N11" s="15"/>
      <c r="O11" s="3"/>
      <c r="P11" s="3"/>
    </row>
    <row r="12" spans="1:16" x14ac:dyDescent="0.3">
      <c r="A12" s="11"/>
      <c r="B12" s="65"/>
      <c r="C12" s="13"/>
      <c r="D12" s="70"/>
      <c r="E12" s="70"/>
      <c r="F12" s="13"/>
      <c r="G12" s="116" t="str">
        <f t="shared" si="0"/>
        <v/>
      </c>
      <c r="H12" s="13"/>
      <c r="I12" s="70"/>
      <c r="J12" s="33"/>
      <c r="K12" s="71"/>
      <c r="L12" s="13"/>
      <c r="M12" s="22"/>
      <c r="N12" s="15"/>
      <c r="O12" s="3"/>
      <c r="P12" s="3"/>
    </row>
    <row r="13" spans="1:16" x14ac:dyDescent="0.3">
      <c r="A13" s="11"/>
      <c r="B13" s="66"/>
      <c r="C13" s="13"/>
      <c r="D13" s="70"/>
      <c r="E13" s="70"/>
      <c r="F13" s="13"/>
      <c r="G13" s="116" t="str">
        <f t="shared" si="0"/>
        <v/>
      </c>
      <c r="H13" s="13"/>
      <c r="I13" s="70"/>
      <c r="J13" s="33"/>
      <c r="K13" s="71"/>
      <c r="L13" s="11"/>
      <c r="M13" s="22"/>
      <c r="N13" s="15"/>
    </row>
    <row r="14" spans="1:16" x14ac:dyDescent="0.3">
      <c r="A14" s="11"/>
      <c r="B14" s="36"/>
      <c r="C14" s="13"/>
      <c r="D14" s="13"/>
      <c r="E14" s="13"/>
      <c r="F14" s="13"/>
      <c r="G14" s="13"/>
      <c r="H14" s="13"/>
      <c r="I14" s="34"/>
      <c r="J14" s="33"/>
      <c r="K14" s="33"/>
      <c r="L14" s="13"/>
      <c r="M14" s="22"/>
      <c r="N14" s="15"/>
    </row>
    <row r="15" spans="1:16" ht="28.8" x14ac:dyDescent="0.3">
      <c r="A15" s="11"/>
      <c r="B15" s="120" t="s">
        <v>173</v>
      </c>
      <c r="C15" s="13"/>
      <c r="D15" s="76" t="s">
        <v>170</v>
      </c>
      <c r="E15" s="76" t="s">
        <v>171</v>
      </c>
      <c r="F15" s="33"/>
      <c r="G15" s="76" t="s">
        <v>172</v>
      </c>
      <c r="H15" s="13"/>
      <c r="I15" s="34"/>
      <c r="J15" s="33"/>
      <c r="K15" s="33"/>
      <c r="L15" s="13"/>
      <c r="M15" s="22"/>
      <c r="N15" s="15"/>
    </row>
    <row r="16" spans="1:16" x14ac:dyDescent="0.3">
      <c r="A16" s="11"/>
      <c r="B16" s="65"/>
      <c r="C16" s="13"/>
      <c r="D16" s="70"/>
      <c r="E16" s="70"/>
      <c r="F16" s="13"/>
      <c r="G16" s="116" t="str">
        <f>IF(D16="","",DEC2HEX(D16))</f>
        <v/>
      </c>
      <c r="H16" s="13"/>
      <c r="I16" s="70"/>
      <c r="J16" s="33"/>
      <c r="K16" s="71"/>
      <c r="L16" s="13"/>
      <c r="M16" s="196" t="s">
        <v>174</v>
      </c>
      <c r="N16" s="15"/>
    </row>
    <row r="17" spans="1:16" x14ac:dyDescent="0.3">
      <c r="A17" s="11"/>
      <c r="B17" s="65"/>
      <c r="C17" s="13"/>
      <c r="D17" s="70"/>
      <c r="E17" s="70"/>
      <c r="F17" s="13"/>
      <c r="G17" s="116" t="str">
        <f t="shared" si="0"/>
        <v/>
      </c>
      <c r="H17" s="13"/>
      <c r="I17" s="70"/>
      <c r="J17" s="33"/>
      <c r="K17" s="71"/>
      <c r="L17" s="13"/>
      <c r="M17" s="196"/>
      <c r="N17" s="15"/>
    </row>
    <row r="18" spans="1:16" x14ac:dyDescent="0.3">
      <c r="A18" s="11"/>
      <c r="B18" s="118"/>
      <c r="C18" s="13"/>
      <c r="D18" s="70"/>
      <c r="E18" s="70"/>
      <c r="F18" s="13"/>
      <c r="G18" s="116" t="str">
        <f t="shared" ref="G18:G23" si="1">IF(D18="","",DEC2HEX(D18))</f>
        <v/>
      </c>
      <c r="H18" s="13"/>
      <c r="I18" s="70"/>
      <c r="J18" s="33"/>
      <c r="K18" s="71"/>
      <c r="L18" s="13"/>
      <c r="M18" s="22"/>
      <c r="N18" s="15"/>
      <c r="O18" s="3"/>
      <c r="P18" s="3"/>
    </row>
    <row r="19" spans="1:16" ht="15" customHeight="1" x14ac:dyDescent="0.3">
      <c r="A19" s="11"/>
      <c r="B19" s="118"/>
      <c r="C19" s="13"/>
      <c r="D19" s="70"/>
      <c r="E19" s="70"/>
      <c r="F19" s="13"/>
      <c r="G19" s="116" t="str">
        <f t="shared" si="1"/>
        <v/>
      </c>
      <c r="H19" s="13"/>
      <c r="I19" s="70"/>
      <c r="J19" s="33"/>
      <c r="K19" s="71"/>
      <c r="L19" s="13"/>
      <c r="M19" s="119" t="s">
        <v>175</v>
      </c>
      <c r="N19" s="15"/>
      <c r="O19" s="3"/>
      <c r="P19" s="3"/>
    </row>
    <row r="20" spans="1:16" x14ac:dyDescent="0.3">
      <c r="A20" s="11"/>
      <c r="B20" s="118"/>
      <c r="C20" s="13"/>
      <c r="D20" s="70"/>
      <c r="E20" s="70"/>
      <c r="F20" s="13"/>
      <c r="G20" s="116" t="str">
        <f t="shared" si="1"/>
        <v/>
      </c>
      <c r="H20" s="13"/>
      <c r="I20" s="70"/>
      <c r="J20" s="33"/>
      <c r="K20" s="71"/>
      <c r="L20" s="13"/>
      <c r="M20" s="122"/>
      <c r="N20" s="15"/>
      <c r="O20" s="3"/>
      <c r="P20" s="3"/>
    </row>
    <row r="21" spans="1:16" x14ac:dyDescent="0.3">
      <c r="A21" s="11"/>
      <c r="B21" s="118"/>
      <c r="C21" s="13"/>
      <c r="D21" s="70"/>
      <c r="E21" s="70"/>
      <c r="F21" s="13"/>
      <c r="G21" s="116" t="str">
        <f t="shared" si="1"/>
        <v/>
      </c>
      <c r="H21" s="13"/>
      <c r="I21" s="70"/>
      <c r="J21" s="33"/>
      <c r="K21" s="71"/>
      <c r="L21" s="13"/>
      <c r="M21" s="22"/>
      <c r="N21" s="15"/>
      <c r="O21" s="3"/>
      <c r="P21" s="3"/>
    </row>
    <row r="22" spans="1:16" x14ac:dyDescent="0.3">
      <c r="A22" s="11"/>
      <c r="B22" s="118"/>
      <c r="C22" s="13"/>
      <c r="D22" s="70"/>
      <c r="E22" s="70"/>
      <c r="F22" s="13"/>
      <c r="G22" s="116" t="str">
        <f t="shared" si="1"/>
        <v/>
      </c>
      <c r="H22" s="13"/>
      <c r="I22" s="70"/>
      <c r="J22" s="33"/>
      <c r="K22" s="71"/>
      <c r="L22" s="13"/>
      <c r="M22" s="22"/>
      <c r="N22" s="15"/>
      <c r="O22" s="3"/>
      <c r="P22" s="3"/>
    </row>
    <row r="23" spans="1:16" x14ac:dyDescent="0.3">
      <c r="A23" s="11"/>
      <c r="B23" s="118"/>
      <c r="C23" s="13"/>
      <c r="D23" s="70"/>
      <c r="E23" s="70"/>
      <c r="F23" s="13"/>
      <c r="G23" s="116" t="str">
        <f t="shared" si="1"/>
        <v/>
      </c>
      <c r="H23" s="13"/>
      <c r="I23" s="70"/>
      <c r="J23" s="33"/>
      <c r="K23" s="71"/>
      <c r="L23" s="13"/>
      <c r="M23" s="22"/>
      <c r="N23" s="15"/>
    </row>
    <row r="24" spans="1:16" x14ac:dyDescent="0.3">
      <c r="A24" s="11"/>
      <c r="B24" s="118"/>
      <c r="C24" s="13"/>
      <c r="D24" s="70"/>
      <c r="E24" s="70"/>
      <c r="F24" s="13"/>
      <c r="G24" s="116" t="str">
        <f t="shared" si="0"/>
        <v/>
      </c>
      <c r="H24" s="13"/>
      <c r="I24" s="70"/>
      <c r="J24" s="33"/>
      <c r="K24" s="71"/>
      <c r="L24" s="13"/>
      <c r="M24" s="22"/>
      <c r="N24" s="15"/>
    </row>
    <row r="25" spans="1:16" x14ac:dyDescent="0.3">
      <c r="A25" s="11"/>
      <c r="B25" s="65"/>
      <c r="C25" s="13"/>
      <c r="D25" s="70"/>
      <c r="E25" s="70"/>
      <c r="F25" s="13"/>
      <c r="G25" s="116" t="str">
        <f t="shared" si="0"/>
        <v/>
      </c>
      <c r="H25" s="13"/>
      <c r="I25" s="70"/>
      <c r="J25" s="33"/>
      <c r="K25" s="71"/>
      <c r="L25" s="13"/>
      <c r="M25" s="22"/>
      <c r="N25" s="15"/>
    </row>
    <row r="26" spans="1:16" x14ac:dyDescent="0.3">
      <c r="A26" s="11"/>
      <c r="B26" s="66"/>
      <c r="C26" s="13"/>
      <c r="D26" s="70"/>
      <c r="E26" s="70"/>
      <c r="F26" s="13"/>
      <c r="G26" s="116" t="str">
        <f t="shared" si="0"/>
        <v/>
      </c>
      <c r="H26" s="13"/>
      <c r="I26" s="70"/>
      <c r="J26" s="33"/>
      <c r="K26" s="71"/>
      <c r="L26" s="13"/>
      <c r="M26" s="22"/>
      <c r="N26" s="15"/>
    </row>
    <row r="27" spans="1:16" x14ac:dyDescent="0.3">
      <c r="A27" s="16"/>
      <c r="B27" s="37"/>
      <c r="C27" s="17"/>
      <c r="D27" s="17"/>
      <c r="E27" s="17"/>
      <c r="F27" s="17"/>
      <c r="G27" s="17"/>
      <c r="H27" s="17"/>
      <c r="I27" s="18"/>
      <c r="J27" s="17"/>
      <c r="K27" s="17"/>
      <c r="L27" s="17"/>
      <c r="M27" s="44"/>
      <c r="N27" s="19"/>
    </row>
    <row r="28" spans="1:16" x14ac:dyDescent="0.3">
      <c r="J28" s="12"/>
    </row>
    <row r="29" spans="1:16" x14ac:dyDescent="0.3">
      <c r="J29" s="12"/>
    </row>
    <row r="30" spans="1:16" x14ac:dyDescent="0.3">
      <c r="J30" s="12"/>
    </row>
    <row r="31" spans="1:16" x14ac:dyDescent="0.3">
      <c r="J31" s="12"/>
    </row>
    <row r="32" spans="1:16" x14ac:dyDescent="0.3">
      <c r="J32" s="12"/>
    </row>
    <row r="33" spans="10:10" x14ac:dyDescent="0.3">
      <c r="J33" s="12"/>
    </row>
    <row r="34" spans="10:10" x14ac:dyDescent="0.3">
      <c r="J34" s="12"/>
    </row>
    <row r="35" spans="10:10" x14ac:dyDescent="0.3">
      <c r="J35" s="12"/>
    </row>
    <row r="36" spans="10:10" x14ac:dyDescent="0.3">
      <c r="J36" s="12"/>
    </row>
    <row r="37" spans="10:10" x14ac:dyDescent="0.3">
      <c r="J37" s="12"/>
    </row>
    <row r="38" spans="10:10" x14ac:dyDescent="0.3">
      <c r="J38" s="12"/>
    </row>
    <row r="39" spans="10:10" x14ac:dyDescent="0.3">
      <c r="J39" s="12"/>
    </row>
    <row r="40" spans="10:10" x14ac:dyDescent="0.3">
      <c r="J40" s="12"/>
    </row>
    <row r="41" spans="10:10" x14ac:dyDescent="0.3">
      <c r="J41" s="12"/>
    </row>
    <row r="42" spans="10:10" x14ac:dyDescent="0.3">
      <c r="J42" s="12"/>
    </row>
    <row r="43" spans="10:10" x14ac:dyDescent="0.3">
      <c r="J43" s="12"/>
    </row>
    <row r="44" spans="10:10" x14ac:dyDescent="0.3">
      <c r="J44" s="12"/>
    </row>
    <row r="45" spans="10:10" x14ac:dyDescent="0.3">
      <c r="J45" s="12"/>
    </row>
    <row r="46" spans="10:10" x14ac:dyDescent="0.3">
      <c r="J46" s="12"/>
    </row>
    <row r="47" spans="10:10" x14ac:dyDescent="0.3">
      <c r="J47" s="12"/>
    </row>
    <row r="48" spans="10:10" x14ac:dyDescent="0.3">
      <c r="J48" s="12"/>
    </row>
    <row r="49" spans="10:10" x14ac:dyDescent="0.3">
      <c r="J49" s="12"/>
    </row>
  </sheetData>
  <mergeCells count="2">
    <mergeCell ref="M6:M7"/>
    <mergeCell ref="M16:M17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:N18"/>
  <sheetViews>
    <sheetView zoomScaleNormal="100" workbookViewId="0"/>
  </sheetViews>
  <sheetFormatPr defaultColWidth="2.88671875" defaultRowHeight="14.4" x14ac:dyDescent="0.3"/>
  <cols>
    <col min="2" max="2" width="47.109375" bestFit="1" customWidth="1"/>
    <col min="3" max="3" width="2.88671875" style="2"/>
    <col min="4" max="4" width="27.5546875" style="1" customWidth="1"/>
    <col min="6" max="6" width="28.5546875" customWidth="1"/>
    <col min="8" max="8" width="52.44140625" customWidth="1"/>
  </cols>
  <sheetData>
    <row r="1" spans="1:14" x14ac:dyDescent="0.3">
      <c r="A1" s="8"/>
      <c r="B1" s="9"/>
      <c r="C1" s="9"/>
      <c r="D1" s="20" t="s">
        <v>30</v>
      </c>
      <c r="E1" s="9"/>
      <c r="F1" s="20" t="s">
        <v>23</v>
      </c>
      <c r="G1" s="9"/>
      <c r="H1" s="22"/>
      <c r="I1" s="54"/>
      <c r="N1" s="3" t="s">
        <v>322</v>
      </c>
    </row>
    <row r="2" spans="1:14" x14ac:dyDescent="0.3">
      <c r="A2" s="11"/>
      <c r="B2" s="17"/>
      <c r="C2" s="13"/>
      <c r="D2" s="21" t="str">
        <f>General!D5</f>
        <v>Alexander Shafer</v>
      </c>
      <c r="E2" s="13"/>
      <c r="F2" s="21">
        <f>General!F6</f>
        <v>0</v>
      </c>
      <c r="G2" s="13"/>
      <c r="H2" s="22"/>
      <c r="I2" s="54"/>
      <c r="N2" s="3" t="s">
        <v>416</v>
      </c>
    </row>
    <row r="3" spans="1:14" x14ac:dyDescent="0.3">
      <c r="A3" s="11"/>
      <c r="B3" s="182" t="s">
        <v>415</v>
      </c>
      <c r="C3" s="13"/>
      <c r="D3" s="70"/>
      <c r="E3" s="33"/>
      <c r="F3" s="71"/>
      <c r="G3" s="13"/>
      <c r="H3" s="167" t="s">
        <v>419</v>
      </c>
      <c r="I3" s="54"/>
    </row>
    <row r="4" spans="1:14" x14ac:dyDescent="0.3">
      <c r="A4" s="11"/>
      <c r="B4" s="13"/>
      <c r="C4" s="13"/>
      <c r="D4" s="14"/>
      <c r="E4" s="13"/>
      <c r="F4" s="13"/>
      <c r="G4" s="13"/>
      <c r="H4" s="22"/>
      <c r="I4" s="54"/>
    </row>
    <row r="5" spans="1:14" x14ac:dyDescent="0.3">
      <c r="A5" s="11"/>
      <c r="B5" s="27" t="s">
        <v>413</v>
      </c>
      <c r="C5" s="13"/>
      <c r="D5" s="21"/>
      <c r="E5" s="13"/>
      <c r="F5" s="21"/>
      <c r="G5" s="13"/>
      <c r="H5" s="22"/>
      <c r="I5" s="54"/>
    </row>
    <row r="6" spans="1:14" x14ac:dyDescent="0.3">
      <c r="A6" s="11"/>
      <c r="B6" s="65" t="s">
        <v>417</v>
      </c>
      <c r="C6" s="13"/>
      <c r="D6" s="70"/>
      <c r="E6" s="33"/>
      <c r="F6" s="71"/>
      <c r="G6" s="13"/>
      <c r="H6" s="167" t="s">
        <v>418</v>
      </c>
      <c r="I6" s="54"/>
    </row>
    <row r="7" spans="1:14" x14ac:dyDescent="0.3">
      <c r="A7" s="11"/>
      <c r="B7" s="46" t="s">
        <v>414</v>
      </c>
      <c r="C7" s="13"/>
      <c r="D7" s="70"/>
      <c r="E7" s="33"/>
      <c r="F7" s="71"/>
      <c r="G7" s="13"/>
      <c r="H7" s="167" t="str">
        <f>IF(D3="","",IF(D3="CDMA/MPLS","Disabled","Enabled"))</f>
        <v/>
      </c>
      <c r="I7" s="54"/>
    </row>
    <row r="8" spans="1:14" x14ac:dyDescent="0.3">
      <c r="A8" s="11"/>
      <c r="B8" s="46" t="s">
        <v>319</v>
      </c>
      <c r="C8" s="13"/>
      <c r="D8" s="70"/>
      <c r="E8" s="33"/>
      <c r="F8" s="71"/>
      <c r="G8" s="13"/>
      <c r="H8" s="167" t="str">
        <f>IF(D3="","",IF(D3="CDMA/MPLS","Disabled","Enabled"))</f>
        <v/>
      </c>
      <c r="I8" s="54"/>
    </row>
    <row r="9" spans="1:14" x14ac:dyDescent="0.3">
      <c r="A9" s="11"/>
      <c r="B9" s="46" t="s">
        <v>320</v>
      </c>
      <c r="C9" s="13"/>
      <c r="D9" s="70"/>
      <c r="E9" s="33"/>
      <c r="F9" s="71"/>
      <c r="G9" s="13"/>
      <c r="H9" s="167" t="str">
        <f>IF(D3="","",IF(D3="CDMA/MPLS","Disabled","Enabled"))</f>
        <v/>
      </c>
      <c r="I9" s="54"/>
    </row>
    <row r="10" spans="1:14" x14ac:dyDescent="0.3">
      <c r="A10" s="52"/>
      <c r="B10" s="66" t="s">
        <v>321</v>
      </c>
      <c r="C10" s="32"/>
      <c r="D10" s="73"/>
      <c r="E10" s="74"/>
      <c r="F10" s="80"/>
      <c r="G10" s="53"/>
      <c r="H10" s="76" t="str">
        <f>IF(D3="","",IF(D3="CDMA/MPLS","Disabled","Enabled"))</f>
        <v/>
      </c>
      <c r="I10" s="54"/>
    </row>
    <row r="11" spans="1:14" x14ac:dyDescent="0.3">
      <c r="A11" s="16"/>
      <c r="B11" s="17"/>
      <c r="C11" s="17"/>
      <c r="D11" s="18"/>
      <c r="E11" s="17"/>
      <c r="F11" s="17"/>
      <c r="G11" s="17"/>
      <c r="H11" s="44"/>
      <c r="I11" s="60"/>
    </row>
    <row r="12" spans="1:14" x14ac:dyDescent="0.3">
      <c r="E12" s="12"/>
    </row>
    <row r="13" spans="1:14" x14ac:dyDescent="0.3">
      <c r="E13" s="12"/>
    </row>
    <row r="14" spans="1:14" x14ac:dyDescent="0.3">
      <c r="E14" s="12"/>
    </row>
    <row r="15" spans="1:14" x14ac:dyDescent="0.3">
      <c r="E15" s="12"/>
    </row>
    <row r="16" spans="1:14" x14ac:dyDescent="0.3">
      <c r="E16" s="12"/>
    </row>
    <row r="17" spans="5:5" x14ac:dyDescent="0.3">
      <c r="E17" s="12"/>
    </row>
    <row r="18" spans="5:5" x14ac:dyDescent="0.3">
      <c r="E18" s="12"/>
    </row>
  </sheetData>
  <dataValidations count="1">
    <dataValidation type="list" allowBlank="1" showInputMessage="1" showErrorMessage="1" sqref="D3" xr:uid="{00000000-0002-0000-0A00-000000000000}">
      <formula1>$N$1:$N$2</formula1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K28"/>
  <sheetViews>
    <sheetView zoomScaleNormal="100" workbookViewId="0"/>
  </sheetViews>
  <sheetFormatPr defaultColWidth="2.88671875" defaultRowHeight="14.4" x14ac:dyDescent="0.3"/>
  <cols>
    <col min="1" max="1" width="2.88671875" style="51"/>
    <col min="2" max="2" width="37.33203125" style="51" bestFit="1" customWidth="1"/>
    <col min="3" max="3" width="2.88671875" style="2"/>
    <col min="4" max="4" width="31.88671875" style="62" bestFit="1" customWidth="1"/>
    <col min="5" max="5" width="2.88671875" style="51"/>
    <col min="6" max="6" width="32.44140625" style="51" customWidth="1"/>
    <col min="7" max="7" width="2.88671875" style="61"/>
    <col min="8" max="8" width="44.88671875" style="40" customWidth="1"/>
    <col min="9" max="16384" width="2.88671875" style="51"/>
  </cols>
  <sheetData>
    <row r="1" spans="1:11" x14ac:dyDescent="0.3">
      <c r="A1" s="47"/>
      <c r="B1" s="48"/>
      <c r="C1" s="9"/>
      <c r="D1" s="49" t="s">
        <v>30</v>
      </c>
      <c r="E1" s="48"/>
      <c r="F1" s="49" t="s">
        <v>23</v>
      </c>
      <c r="G1" s="48"/>
      <c r="H1" s="31" t="s">
        <v>52</v>
      </c>
      <c r="I1" s="50"/>
    </row>
    <row r="2" spans="1:11" x14ac:dyDescent="0.3">
      <c r="A2" s="52"/>
      <c r="B2" s="27" t="s">
        <v>176</v>
      </c>
      <c r="C2" s="13"/>
      <c r="D2" s="21" t="str">
        <f>General!D5</f>
        <v>Alexander Shafer</v>
      </c>
      <c r="E2" s="13"/>
      <c r="F2" s="21">
        <f>General!F6</f>
        <v>0</v>
      </c>
      <c r="G2" s="53"/>
      <c r="H2" s="22"/>
      <c r="I2" s="54"/>
    </row>
    <row r="3" spans="1:11" x14ac:dyDescent="0.3">
      <c r="A3" s="52"/>
      <c r="B3" s="65" t="s">
        <v>178</v>
      </c>
      <c r="C3" s="32"/>
      <c r="D3" s="73"/>
      <c r="E3" s="74"/>
      <c r="F3" s="80"/>
      <c r="G3" s="53"/>
      <c r="H3" s="76" t="s">
        <v>182</v>
      </c>
      <c r="I3" s="54"/>
    </row>
    <row r="4" spans="1:11" x14ac:dyDescent="0.3">
      <c r="A4" s="52"/>
      <c r="B4" s="55" t="s">
        <v>177</v>
      </c>
      <c r="C4" s="13"/>
      <c r="D4" s="73"/>
      <c r="E4" s="74"/>
      <c r="F4" s="79"/>
      <c r="G4" s="53"/>
      <c r="H4" s="77" t="s">
        <v>180</v>
      </c>
      <c r="I4" s="54"/>
      <c r="J4" s="56"/>
      <c r="K4" s="56"/>
    </row>
    <row r="5" spans="1:11" x14ac:dyDescent="0.3">
      <c r="A5" s="52"/>
      <c r="B5" s="66" t="s">
        <v>179</v>
      </c>
      <c r="C5" s="32"/>
      <c r="D5" s="73"/>
      <c r="E5" s="74"/>
      <c r="F5" s="80"/>
      <c r="G5" s="53"/>
      <c r="H5" s="76" t="s">
        <v>181</v>
      </c>
      <c r="I5" s="54"/>
    </row>
    <row r="6" spans="1:11" x14ac:dyDescent="0.3">
      <c r="A6" s="57"/>
      <c r="B6" s="58"/>
      <c r="C6" s="17"/>
      <c r="D6" s="59"/>
      <c r="E6" s="58"/>
      <c r="F6" s="58"/>
      <c r="G6" s="58"/>
      <c r="H6" s="44"/>
      <c r="I6" s="60"/>
    </row>
    <row r="7" spans="1:11" x14ac:dyDescent="0.3">
      <c r="E7" s="63"/>
    </row>
    <row r="8" spans="1:11" x14ac:dyDescent="0.3">
      <c r="E8" s="63"/>
    </row>
    <row r="9" spans="1:11" x14ac:dyDescent="0.3">
      <c r="E9" s="63"/>
    </row>
    <row r="10" spans="1:11" x14ac:dyDescent="0.3">
      <c r="E10" s="63"/>
    </row>
    <row r="11" spans="1:11" x14ac:dyDescent="0.3">
      <c r="E11" s="63"/>
    </row>
    <row r="12" spans="1:11" x14ac:dyDescent="0.3">
      <c r="E12" s="63"/>
    </row>
    <row r="13" spans="1:11" x14ac:dyDescent="0.3">
      <c r="E13" s="63"/>
    </row>
    <row r="14" spans="1:11" x14ac:dyDescent="0.3">
      <c r="E14" s="63"/>
    </row>
    <row r="15" spans="1:11" x14ac:dyDescent="0.3">
      <c r="E15" s="63"/>
    </row>
    <row r="16" spans="1:11" x14ac:dyDescent="0.3">
      <c r="E16" s="63"/>
    </row>
    <row r="17" spans="5:5" x14ac:dyDescent="0.3">
      <c r="E17" s="63"/>
    </row>
    <row r="18" spans="5:5" x14ac:dyDescent="0.3">
      <c r="E18" s="63"/>
    </row>
    <row r="19" spans="5:5" x14ac:dyDescent="0.3">
      <c r="E19" s="63"/>
    </row>
    <row r="20" spans="5:5" x14ac:dyDescent="0.3">
      <c r="E20" s="63"/>
    </row>
    <row r="21" spans="5:5" x14ac:dyDescent="0.3">
      <c r="E21" s="63"/>
    </row>
    <row r="22" spans="5:5" x14ac:dyDescent="0.3">
      <c r="E22" s="63"/>
    </row>
    <row r="23" spans="5:5" x14ac:dyDescent="0.3">
      <c r="E23" s="63"/>
    </row>
    <row r="24" spans="5:5" x14ac:dyDescent="0.3">
      <c r="E24" s="63"/>
    </row>
    <row r="25" spans="5:5" x14ac:dyDescent="0.3">
      <c r="E25" s="63"/>
    </row>
    <row r="26" spans="5:5" x14ac:dyDescent="0.3">
      <c r="E26" s="63"/>
    </row>
    <row r="27" spans="5:5" x14ac:dyDescent="0.3">
      <c r="E27" s="63"/>
    </row>
    <row r="28" spans="5:5" x14ac:dyDescent="0.3">
      <c r="E28" s="63"/>
    </row>
  </sheetData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"/>
  <dimension ref="A1:L44"/>
  <sheetViews>
    <sheetView zoomScaleNormal="100" workbookViewId="0"/>
  </sheetViews>
  <sheetFormatPr defaultColWidth="2.88671875" defaultRowHeight="14.4" x14ac:dyDescent="0.3"/>
  <cols>
    <col min="2" max="2" width="23.77734375" bestFit="1" customWidth="1"/>
    <col min="3" max="3" width="2.88671875" style="2"/>
    <col min="4" max="5" width="11.5546875" style="1" customWidth="1"/>
    <col min="6" max="9" width="11.5546875" customWidth="1"/>
    <col min="10" max="11" width="21" customWidth="1"/>
  </cols>
  <sheetData>
    <row r="1" spans="1:12" x14ac:dyDescent="0.3">
      <c r="A1" s="8"/>
      <c r="B1" s="9"/>
      <c r="C1" s="9"/>
      <c r="D1" s="201" t="s">
        <v>30</v>
      </c>
      <c r="E1" s="201"/>
      <c r="F1" s="9"/>
      <c r="G1" s="201" t="s">
        <v>23</v>
      </c>
      <c r="H1" s="201"/>
      <c r="I1" s="48"/>
      <c r="J1" s="31" t="s">
        <v>52</v>
      </c>
      <c r="K1" s="31"/>
      <c r="L1" s="10"/>
    </row>
    <row r="2" spans="1:12" x14ac:dyDescent="0.3">
      <c r="A2" s="11"/>
      <c r="B2" s="27" t="s">
        <v>370</v>
      </c>
      <c r="C2" s="13"/>
      <c r="D2" s="202" t="str">
        <f>General!D5</f>
        <v>Alexander Shafer</v>
      </c>
      <c r="E2" s="202"/>
      <c r="F2" s="13"/>
      <c r="G2" s="202">
        <f>General!F6</f>
        <v>0</v>
      </c>
      <c r="H2" s="202"/>
      <c r="I2" s="53"/>
      <c r="J2" s="22"/>
      <c r="K2" s="22"/>
      <c r="L2" s="15"/>
    </row>
    <row r="3" spans="1:12" x14ac:dyDescent="0.3">
      <c r="A3" s="11"/>
      <c r="B3" s="28" t="s">
        <v>371</v>
      </c>
      <c r="C3" s="13"/>
      <c r="D3" s="199"/>
      <c r="E3" s="200"/>
      <c r="F3" s="33"/>
      <c r="G3" s="199"/>
      <c r="H3" s="200"/>
      <c r="I3" s="53"/>
      <c r="J3" s="197" t="s">
        <v>372</v>
      </c>
      <c r="K3" s="198"/>
      <c r="L3" s="15"/>
    </row>
    <row r="4" spans="1:12" x14ac:dyDescent="0.3">
      <c r="A4" s="11"/>
      <c r="B4" s="139" t="s">
        <v>367</v>
      </c>
      <c r="C4" s="13"/>
      <c r="D4" s="33"/>
      <c r="E4" s="33"/>
      <c r="F4" s="33"/>
      <c r="G4" s="33"/>
      <c r="H4" s="33"/>
      <c r="I4" s="53"/>
      <c r="J4" s="176"/>
      <c r="K4" s="176"/>
      <c r="L4" s="15"/>
    </row>
    <row r="5" spans="1:12" ht="14.4" customHeight="1" x14ac:dyDescent="0.3">
      <c r="A5" s="11"/>
      <c r="B5" s="129" t="s">
        <v>376</v>
      </c>
      <c r="C5" s="13"/>
      <c r="D5" s="199"/>
      <c r="E5" s="200"/>
      <c r="F5" s="33"/>
      <c r="G5" s="199"/>
      <c r="H5" s="200"/>
      <c r="I5" s="53"/>
      <c r="J5" s="197" t="s">
        <v>380</v>
      </c>
      <c r="K5" s="198"/>
      <c r="L5" s="15"/>
    </row>
    <row r="6" spans="1:12" x14ac:dyDescent="0.3">
      <c r="A6" s="11"/>
      <c r="B6" s="129" t="s">
        <v>377</v>
      </c>
      <c r="C6" s="13"/>
      <c r="D6" s="199"/>
      <c r="E6" s="200"/>
      <c r="F6" s="33"/>
      <c r="G6" s="199"/>
      <c r="H6" s="200"/>
      <c r="I6" s="53"/>
      <c r="J6" s="197" t="s">
        <v>381</v>
      </c>
      <c r="K6" s="198"/>
      <c r="L6" s="15"/>
    </row>
    <row r="7" spans="1:12" x14ac:dyDescent="0.3">
      <c r="A7" s="11"/>
      <c r="B7" s="129" t="s">
        <v>378</v>
      </c>
      <c r="C7" s="13"/>
      <c r="D7" s="199"/>
      <c r="E7" s="200"/>
      <c r="F7" s="33"/>
      <c r="G7" s="199"/>
      <c r="H7" s="200"/>
      <c r="I7" s="53"/>
      <c r="J7" s="197" t="s">
        <v>382</v>
      </c>
      <c r="K7" s="198"/>
      <c r="L7" s="15"/>
    </row>
    <row r="8" spans="1:12" x14ac:dyDescent="0.3">
      <c r="A8" s="11"/>
      <c r="B8" s="129" t="s">
        <v>379</v>
      </c>
      <c r="C8" s="13"/>
      <c r="D8" s="199"/>
      <c r="E8" s="200"/>
      <c r="F8" s="33"/>
      <c r="G8" s="199"/>
      <c r="H8" s="200"/>
      <c r="I8" s="53"/>
      <c r="J8" s="197" t="s">
        <v>383</v>
      </c>
      <c r="K8" s="198"/>
      <c r="L8" s="15"/>
    </row>
    <row r="9" spans="1:12" x14ac:dyDescent="0.3">
      <c r="A9" s="11"/>
      <c r="B9" s="9"/>
      <c r="C9" s="13"/>
      <c r="D9" s="21"/>
      <c r="E9" s="21"/>
      <c r="F9" s="13"/>
      <c r="G9" s="21"/>
      <c r="H9" s="21"/>
      <c r="I9" s="53"/>
      <c r="J9" s="122"/>
      <c r="K9" s="122"/>
      <c r="L9" s="15"/>
    </row>
    <row r="10" spans="1:12" x14ac:dyDescent="0.3">
      <c r="A10" s="11"/>
      <c r="B10" s="27" t="s">
        <v>373</v>
      </c>
      <c r="C10" s="13"/>
      <c r="D10" s="33"/>
      <c r="E10" s="33"/>
      <c r="F10" s="33"/>
      <c r="G10" s="33"/>
      <c r="H10" s="33"/>
      <c r="I10" s="53"/>
      <c r="J10" s="175"/>
      <c r="K10" s="175"/>
      <c r="L10" s="15"/>
    </row>
    <row r="11" spans="1:12" x14ac:dyDescent="0.3">
      <c r="A11" s="11"/>
      <c r="B11" s="29" t="s">
        <v>374</v>
      </c>
      <c r="C11" s="13"/>
      <c r="D11" s="199"/>
      <c r="E11" s="200"/>
      <c r="F11" s="33"/>
      <c r="G11" s="199"/>
      <c r="H11" s="200"/>
      <c r="I11" s="53"/>
      <c r="J11" s="197" t="s">
        <v>375</v>
      </c>
      <c r="K11" s="198"/>
      <c r="L11" s="15"/>
    </row>
    <row r="12" spans="1:12" x14ac:dyDescent="0.3">
      <c r="A12" s="16"/>
      <c r="B12" s="17"/>
      <c r="C12" s="17"/>
      <c r="D12" s="18"/>
      <c r="E12" s="18"/>
      <c r="F12" s="17"/>
      <c r="G12" s="17"/>
      <c r="H12" s="17"/>
      <c r="I12" s="17"/>
      <c r="J12" s="17"/>
      <c r="K12" s="17"/>
      <c r="L12" s="19"/>
    </row>
    <row r="13" spans="1:12" x14ac:dyDescent="0.3">
      <c r="F13" s="12"/>
    </row>
    <row r="14" spans="1:12" x14ac:dyDescent="0.3">
      <c r="A14" s="8"/>
      <c r="B14" s="9"/>
      <c r="C14" s="9"/>
      <c r="D14" s="20"/>
      <c r="E14" s="20"/>
      <c r="F14" s="9"/>
      <c r="G14" s="20"/>
      <c r="H14" s="20"/>
      <c r="I14" s="48"/>
      <c r="J14" s="50"/>
    </row>
    <row r="15" spans="1:12" ht="14.4" customHeight="1" x14ac:dyDescent="0.3">
      <c r="A15" s="11"/>
      <c r="B15" s="27" t="s">
        <v>385</v>
      </c>
      <c r="C15" s="13"/>
      <c r="D15" s="33"/>
      <c r="E15" s="33"/>
      <c r="F15" s="33" t="s">
        <v>389</v>
      </c>
      <c r="G15" s="33" t="s">
        <v>390</v>
      </c>
      <c r="H15" s="33" t="s">
        <v>43</v>
      </c>
      <c r="I15" s="33" t="s">
        <v>391</v>
      </c>
      <c r="J15" s="54"/>
    </row>
    <row r="16" spans="1:12" x14ac:dyDescent="0.3">
      <c r="A16" s="11"/>
      <c r="B16" s="28" t="s">
        <v>384</v>
      </c>
      <c r="C16" s="13"/>
      <c r="D16" s="68"/>
      <c r="E16" s="21"/>
      <c r="F16" s="174" t="str">
        <f>IF(D16="","",(16*D16)+3)</f>
        <v/>
      </c>
      <c r="G16" s="174" t="str">
        <f>IF(D16="","",(10*D16)+9)</f>
        <v/>
      </c>
      <c r="H16" s="174" t="str">
        <f>IF(D16="","",(5*D16)+(24*D16))</f>
        <v/>
      </c>
      <c r="I16" s="177" t="str">
        <f>IF(D16="","",D16)</f>
        <v/>
      </c>
      <c r="J16" s="54"/>
    </row>
    <row r="17" spans="1:10" ht="14.4" customHeight="1" x14ac:dyDescent="0.3">
      <c r="A17" s="11"/>
      <c r="B17" s="65" t="s">
        <v>388</v>
      </c>
      <c r="C17" s="13"/>
      <c r="D17" s="68"/>
      <c r="E17" s="21"/>
      <c r="F17" s="174" t="str">
        <f>IF(D17="","",(16*D17)+3)</f>
        <v/>
      </c>
      <c r="G17" s="174" t="str">
        <f>IF(D17="","",(10*D17)+9)</f>
        <v/>
      </c>
      <c r="H17" s="174" t="str">
        <f>IF(D17="","",(5*D17)+(21*D17))</f>
        <v/>
      </c>
      <c r="I17" s="177" t="str">
        <f>IF(D17="","",D17)</f>
        <v/>
      </c>
      <c r="J17" s="54"/>
    </row>
    <row r="18" spans="1:10" ht="14.4" customHeight="1" x14ac:dyDescent="0.3">
      <c r="A18" s="11"/>
      <c r="B18" s="28" t="s">
        <v>387</v>
      </c>
      <c r="C18" s="13"/>
      <c r="D18" s="68"/>
      <c r="E18" s="21"/>
      <c r="F18" s="174" t="str">
        <f>IF(D18="","",(16*D18)+3)</f>
        <v/>
      </c>
      <c r="G18" s="174" t="str">
        <f>IF(D18="","",(10*D18)+9)</f>
        <v/>
      </c>
      <c r="H18" s="174" t="str">
        <f>IF(D18="","",(5*D18)+(D19*D18))</f>
        <v/>
      </c>
      <c r="I18" s="177" t="str">
        <f>IF(D18="","",D18)</f>
        <v/>
      </c>
      <c r="J18" s="54"/>
    </row>
    <row r="19" spans="1:10" ht="15" thickBot="1" x14ac:dyDescent="0.35">
      <c r="A19" s="11"/>
      <c r="B19" s="124" t="s">
        <v>392</v>
      </c>
      <c r="C19" s="13"/>
      <c r="D19" s="68"/>
      <c r="E19" s="21" t="s">
        <v>393</v>
      </c>
      <c r="F19" s="173">
        <f>SUM(F16:F18)</f>
        <v>0</v>
      </c>
      <c r="G19" s="173">
        <f>SUM(G16:G18)</f>
        <v>0</v>
      </c>
      <c r="H19" s="173">
        <f>SUM(H16:H18)</f>
        <v>0</v>
      </c>
      <c r="I19" s="173">
        <f>SUM(I16:I18)</f>
        <v>0</v>
      </c>
      <c r="J19" s="54"/>
    </row>
    <row r="20" spans="1:10" ht="15" thickTop="1" x14ac:dyDescent="0.3">
      <c r="A20" s="11"/>
      <c r="B20" s="9"/>
      <c r="C20" s="13"/>
      <c r="D20" s="21"/>
      <c r="E20" s="21"/>
      <c r="F20" s="13"/>
      <c r="G20" s="21"/>
      <c r="H20" s="21"/>
      <c r="I20" s="53"/>
      <c r="J20" s="54"/>
    </row>
    <row r="21" spans="1:10" ht="14.4" customHeight="1" x14ac:dyDescent="0.3">
      <c r="A21" s="11"/>
      <c r="B21" s="27" t="s">
        <v>386</v>
      </c>
      <c r="C21" s="13"/>
      <c r="D21" s="33"/>
      <c r="E21" s="33"/>
      <c r="F21" s="33" t="s">
        <v>389</v>
      </c>
      <c r="G21" s="33" t="s">
        <v>390</v>
      </c>
      <c r="H21" s="33" t="s">
        <v>43</v>
      </c>
      <c r="I21" s="33" t="s">
        <v>391</v>
      </c>
      <c r="J21" s="54"/>
    </row>
    <row r="22" spans="1:10" x14ac:dyDescent="0.3">
      <c r="A22" s="11"/>
      <c r="B22" s="28" t="s">
        <v>384</v>
      </c>
      <c r="C22" s="13"/>
      <c r="D22" s="68"/>
      <c r="E22" s="21"/>
      <c r="F22" s="174" t="str">
        <f>IF(D22="","",(16*D22)+3)</f>
        <v/>
      </c>
      <c r="G22" s="174" t="str">
        <f>IF(D22="","",(10*D22)+9)</f>
        <v/>
      </c>
      <c r="H22" s="174" t="str">
        <f>IF(D22="","",(5*D22)+(24*D22))</f>
        <v/>
      </c>
      <c r="I22" s="177" t="str">
        <f>IF(D22="","",D22)</f>
        <v/>
      </c>
      <c r="J22" s="54"/>
    </row>
    <row r="23" spans="1:10" ht="14.4" customHeight="1" x14ac:dyDescent="0.3">
      <c r="A23" s="11"/>
      <c r="B23" s="65" t="s">
        <v>388</v>
      </c>
      <c r="C23" s="13"/>
      <c r="D23" s="68"/>
      <c r="E23" s="21"/>
      <c r="F23" s="174" t="str">
        <f>IF(D23="","",(16*D23)+3)</f>
        <v/>
      </c>
      <c r="G23" s="174" t="str">
        <f>IF(D23="","",(10*D23)+9)</f>
        <v/>
      </c>
      <c r="H23" s="174" t="str">
        <f>IF(D23="","",(5*D23)+(21*D23))</f>
        <v/>
      </c>
      <c r="I23" s="177" t="str">
        <f>IF(D23="","",D23)</f>
        <v/>
      </c>
      <c r="J23" s="54"/>
    </row>
    <row r="24" spans="1:10" ht="14.4" customHeight="1" x14ac:dyDescent="0.3">
      <c r="A24" s="11"/>
      <c r="B24" s="28" t="s">
        <v>387</v>
      </c>
      <c r="C24" s="13"/>
      <c r="D24" s="68"/>
      <c r="E24" s="21"/>
      <c r="F24" s="174" t="str">
        <f>IF(D24="","",(16*D24)+3)</f>
        <v/>
      </c>
      <c r="G24" s="174" t="str">
        <f>IF(D24="","",(10*D24)+9)</f>
        <v/>
      </c>
      <c r="H24" s="174" t="str">
        <f>IF(D24="","",(5*D24)+(D25*D24))</f>
        <v/>
      </c>
      <c r="I24" s="177" t="str">
        <f>IF(D24="","",D24)</f>
        <v/>
      </c>
      <c r="J24" s="54"/>
    </row>
    <row r="25" spans="1:10" ht="15" thickBot="1" x14ac:dyDescent="0.35">
      <c r="A25" s="11"/>
      <c r="B25" s="124" t="s">
        <v>392</v>
      </c>
      <c r="C25" s="13"/>
      <c r="D25" s="68"/>
      <c r="E25" s="21" t="s">
        <v>393</v>
      </c>
      <c r="F25" s="173">
        <f>SUM(F22:F24)</f>
        <v>0</v>
      </c>
      <c r="G25" s="173">
        <f>SUM(G22:G24)</f>
        <v>0</v>
      </c>
      <c r="H25" s="173">
        <f>SUM(H22:H24)</f>
        <v>0</v>
      </c>
      <c r="I25" s="173">
        <f>SUM(I22:I24)</f>
        <v>0</v>
      </c>
      <c r="J25" s="54"/>
    </row>
    <row r="26" spans="1:10" ht="15" thickTop="1" x14ac:dyDescent="0.3">
      <c r="A26" s="11"/>
      <c r="B26" s="9"/>
      <c r="C26" s="13"/>
      <c r="D26" s="21"/>
      <c r="E26" s="21"/>
      <c r="F26" s="13"/>
      <c r="G26" s="21"/>
      <c r="H26" s="21"/>
      <c r="I26" s="53"/>
      <c r="J26" s="54"/>
    </row>
    <row r="27" spans="1:10" ht="14.4" customHeight="1" x14ac:dyDescent="0.3">
      <c r="A27" s="11"/>
      <c r="B27" s="27" t="s">
        <v>394</v>
      </c>
      <c r="C27" s="13"/>
      <c r="D27" s="33"/>
      <c r="E27" s="33"/>
      <c r="F27" s="33" t="s">
        <v>389</v>
      </c>
      <c r="G27" s="33" t="s">
        <v>390</v>
      </c>
      <c r="H27" s="33" t="s">
        <v>43</v>
      </c>
      <c r="I27" s="33" t="s">
        <v>391</v>
      </c>
      <c r="J27" s="54"/>
    </row>
    <row r="28" spans="1:10" x14ac:dyDescent="0.3">
      <c r="A28" s="11"/>
      <c r="B28" s="28" t="s">
        <v>384</v>
      </c>
      <c r="C28" s="13"/>
      <c r="D28" s="68"/>
      <c r="E28" s="21"/>
      <c r="F28" s="174" t="str">
        <f>IF(D28="","",(16*D28)+3)</f>
        <v/>
      </c>
      <c r="G28" s="174" t="str">
        <f>IF(D28="","",(10*D28)+9)</f>
        <v/>
      </c>
      <c r="H28" s="174" t="str">
        <f>IF(D28="","",(5*D28)+(24*D28))</f>
        <v/>
      </c>
      <c r="I28" s="177" t="str">
        <f>IF(D28="","",D28)</f>
        <v/>
      </c>
      <c r="J28" s="54"/>
    </row>
    <row r="29" spans="1:10" ht="14.4" customHeight="1" x14ac:dyDescent="0.3">
      <c r="A29" s="11"/>
      <c r="B29" s="65" t="s">
        <v>388</v>
      </c>
      <c r="C29" s="13"/>
      <c r="D29" s="68"/>
      <c r="E29" s="21"/>
      <c r="F29" s="174" t="str">
        <f>IF(D29="","",(16*D29)+3)</f>
        <v/>
      </c>
      <c r="G29" s="174" t="str">
        <f>IF(D29="","",(10*D29)+9)</f>
        <v/>
      </c>
      <c r="H29" s="174" t="str">
        <f>IF(D29="","",(5*D29)+(21*D29))</f>
        <v/>
      </c>
      <c r="I29" s="177" t="str">
        <f>IF(D29="","",D29)</f>
        <v/>
      </c>
      <c r="J29" s="54"/>
    </row>
    <row r="30" spans="1:10" ht="14.4" customHeight="1" x14ac:dyDescent="0.3">
      <c r="A30" s="11"/>
      <c r="B30" s="28" t="s">
        <v>387</v>
      </c>
      <c r="C30" s="13"/>
      <c r="D30" s="68"/>
      <c r="E30" s="21"/>
      <c r="F30" s="174" t="str">
        <f>IF(D30="","",(16*D30)+3)</f>
        <v/>
      </c>
      <c r="G30" s="174" t="str">
        <f>IF(D30="","",(10*D30)+9)</f>
        <v/>
      </c>
      <c r="H30" s="174" t="str">
        <f>IF(D30="","",(5*D30)+(D31*D30))</f>
        <v/>
      </c>
      <c r="I30" s="177" t="str">
        <f>IF(D30="","",D30)</f>
        <v/>
      </c>
      <c r="J30" s="54"/>
    </row>
    <row r="31" spans="1:10" ht="15" thickBot="1" x14ac:dyDescent="0.35">
      <c r="A31" s="11"/>
      <c r="B31" s="124" t="s">
        <v>392</v>
      </c>
      <c r="C31" s="13"/>
      <c r="D31" s="68"/>
      <c r="E31" s="21" t="s">
        <v>393</v>
      </c>
      <c r="F31" s="173">
        <f>SUM(F28:F30)</f>
        <v>0</v>
      </c>
      <c r="G31" s="173">
        <f>SUM(G28:G30)</f>
        <v>0</v>
      </c>
      <c r="H31" s="173">
        <f>SUM(H28:H30)</f>
        <v>0</v>
      </c>
      <c r="I31" s="173">
        <f>SUM(I28:I30)</f>
        <v>0</v>
      </c>
      <c r="J31" s="54"/>
    </row>
    <row r="32" spans="1:10" ht="15" thickTop="1" x14ac:dyDescent="0.3">
      <c r="A32" s="11"/>
      <c r="B32" s="9"/>
      <c r="C32" s="13"/>
      <c r="D32" s="21"/>
      <c r="E32" s="21"/>
      <c r="F32" s="13"/>
      <c r="G32" s="21"/>
      <c r="H32" s="21"/>
      <c r="I32" s="53"/>
      <c r="J32" s="54"/>
    </row>
    <row r="33" spans="1:10" ht="14.4" customHeight="1" x14ac:dyDescent="0.3">
      <c r="A33" s="11"/>
      <c r="B33" s="27" t="s">
        <v>395</v>
      </c>
      <c r="C33" s="13"/>
      <c r="D33" s="33"/>
      <c r="E33" s="33"/>
      <c r="F33" s="33" t="s">
        <v>389</v>
      </c>
      <c r="G33" s="33" t="s">
        <v>390</v>
      </c>
      <c r="H33" s="33" t="s">
        <v>43</v>
      </c>
      <c r="I33" s="33" t="s">
        <v>391</v>
      </c>
      <c r="J33" s="54"/>
    </row>
    <row r="34" spans="1:10" x14ac:dyDescent="0.3">
      <c r="A34" s="11"/>
      <c r="B34" s="28" t="s">
        <v>384</v>
      </c>
      <c r="C34" s="13"/>
      <c r="D34" s="68"/>
      <c r="E34" s="21"/>
      <c r="F34" s="174" t="str">
        <f>IF(D34="","",(16*D34)+3)</f>
        <v/>
      </c>
      <c r="G34" s="174" t="str">
        <f>IF(D34="","",(10*D34)+9)</f>
        <v/>
      </c>
      <c r="H34" s="174" t="str">
        <f>IF(D34="","",(5*D34)+(24*D34))</f>
        <v/>
      </c>
      <c r="I34" s="177" t="str">
        <f>IF(D34="","",D34)</f>
        <v/>
      </c>
      <c r="J34" s="54"/>
    </row>
    <row r="35" spans="1:10" ht="14.4" customHeight="1" x14ac:dyDescent="0.3">
      <c r="A35" s="11"/>
      <c r="B35" s="65" t="s">
        <v>388</v>
      </c>
      <c r="C35" s="13"/>
      <c r="D35" s="68"/>
      <c r="E35" s="21"/>
      <c r="F35" s="174" t="str">
        <f>IF(D35="","",(16*D35)+3)</f>
        <v/>
      </c>
      <c r="G35" s="174" t="str">
        <f>IF(D35="","",(10*D35)+9)</f>
        <v/>
      </c>
      <c r="H35" s="174" t="str">
        <f>IF(D35="","",(5*D35)+(21*D35))</f>
        <v/>
      </c>
      <c r="I35" s="177" t="str">
        <f>IF(D35="","",D35)</f>
        <v/>
      </c>
      <c r="J35" s="54"/>
    </row>
    <row r="36" spans="1:10" ht="14.4" customHeight="1" x14ac:dyDescent="0.3">
      <c r="A36" s="11"/>
      <c r="B36" s="28" t="s">
        <v>387</v>
      </c>
      <c r="C36" s="13"/>
      <c r="D36" s="68"/>
      <c r="E36" s="21"/>
      <c r="F36" s="174" t="str">
        <f>IF(D36="","",(16*D36)+3)</f>
        <v/>
      </c>
      <c r="G36" s="174" t="str">
        <f>IF(D36="","",(10*D36)+9)</f>
        <v/>
      </c>
      <c r="H36" s="174" t="str">
        <f>IF(D36="","",(5*D36)+(D37*D36))</f>
        <v/>
      </c>
      <c r="I36" s="177" t="str">
        <f>IF(D36="","",D36)</f>
        <v/>
      </c>
      <c r="J36" s="54"/>
    </row>
    <row r="37" spans="1:10" ht="15" thickBot="1" x14ac:dyDescent="0.35">
      <c r="A37" s="11"/>
      <c r="B37" s="124" t="s">
        <v>392</v>
      </c>
      <c r="C37" s="13"/>
      <c r="D37" s="68"/>
      <c r="E37" s="21" t="s">
        <v>393</v>
      </c>
      <c r="F37" s="173">
        <f>SUM(F34:F36)</f>
        <v>0</v>
      </c>
      <c r="G37" s="173">
        <f>SUM(G34:G36)</f>
        <v>0</v>
      </c>
      <c r="H37" s="173">
        <f>SUM(H34:H36)</f>
        <v>0</v>
      </c>
      <c r="I37" s="173">
        <f>SUM(I34:I36)</f>
        <v>0</v>
      </c>
      <c r="J37" s="54"/>
    </row>
    <row r="38" spans="1:10" ht="15" thickTop="1" x14ac:dyDescent="0.3">
      <c r="A38" s="11"/>
      <c r="B38" s="9"/>
      <c r="C38" s="13"/>
      <c r="D38" s="21"/>
      <c r="E38" s="21"/>
      <c r="F38" s="13"/>
      <c r="G38" s="21"/>
      <c r="H38" s="21"/>
      <c r="I38" s="53"/>
      <c r="J38" s="54"/>
    </row>
    <row r="39" spans="1:10" ht="14.4" customHeight="1" x14ac:dyDescent="0.3">
      <c r="A39" s="11"/>
      <c r="B39" s="27" t="s">
        <v>396</v>
      </c>
      <c r="C39" s="13"/>
      <c r="D39" s="33"/>
      <c r="E39" s="33"/>
      <c r="F39" s="33" t="s">
        <v>389</v>
      </c>
      <c r="G39" s="33" t="s">
        <v>390</v>
      </c>
      <c r="H39" s="33" t="s">
        <v>43</v>
      </c>
      <c r="I39" s="33" t="s">
        <v>391</v>
      </c>
      <c r="J39" s="54"/>
    </row>
    <row r="40" spans="1:10" x14ac:dyDescent="0.3">
      <c r="A40" s="11"/>
      <c r="B40" s="28" t="s">
        <v>384</v>
      </c>
      <c r="C40" s="13"/>
      <c r="D40" s="68"/>
      <c r="E40" s="21"/>
      <c r="F40" s="174" t="str">
        <f>IF(D40="","",(16*D40)+3)</f>
        <v/>
      </c>
      <c r="G40" s="174" t="str">
        <f>IF(D40="","",(10*D40)+9)</f>
        <v/>
      </c>
      <c r="H40" s="174" t="str">
        <f>IF(D40="","",(5*D40)+(24*D40))</f>
        <v/>
      </c>
      <c r="I40" s="177" t="str">
        <f>IF(D40="","",D40)</f>
        <v/>
      </c>
      <c r="J40" s="54"/>
    </row>
    <row r="41" spans="1:10" ht="14.4" customHeight="1" x14ac:dyDescent="0.3">
      <c r="A41" s="11"/>
      <c r="B41" s="65" t="s">
        <v>388</v>
      </c>
      <c r="C41" s="13"/>
      <c r="D41" s="68"/>
      <c r="E41" s="21"/>
      <c r="F41" s="174" t="str">
        <f>IF(D41="","",(16*D41)+3)</f>
        <v/>
      </c>
      <c r="G41" s="174" t="str">
        <f>IF(D41="","",(10*D41)+9)</f>
        <v/>
      </c>
      <c r="H41" s="174" t="str">
        <f>IF(D41="","",(5*D41)+(21*D41))</f>
        <v/>
      </c>
      <c r="I41" s="177" t="str">
        <f>IF(D41="","",D41)</f>
        <v/>
      </c>
      <c r="J41" s="54"/>
    </row>
    <row r="42" spans="1:10" ht="14.4" customHeight="1" x14ac:dyDescent="0.3">
      <c r="A42" s="11"/>
      <c r="B42" s="28" t="s">
        <v>387</v>
      </c>
      <c r="C42" s="13"/>
      <c r="D42" s="68"/>
      <c r="E42" s="21"/>
      <c r="F42" s="174" t="str">
        <f>IF(D42="","",(16*D42)+3)</f>
        <v/>
      </c>
      <c r="G42" s="174" t="str">
        <f>IF(D42="","",(10*D42)+9)</f>
        <v/>
      </c>
      <c r="H42" s="174" t="str">
        <f>IF(D42="","",(5*D42)+(D43*D42))</f>
        <v/>
      </c>
      <c r="I42" s="177" t="str">
        <f>IF(D42="","",D42)</f>
        <v/>
      </c>
      <c r="J42" s="54"/>
    </row>
    <row r="43" spans="1:10" ht="15" thickBot="1" x14ac:dyDescent="0.35">
      <c r="A43" s="11"/>
      <c r="B43" s="124" t="s">
        <v>392</v>
      </c>
      <c r="C43" s="13"/>
      <c r="D43" s="68"/>
      <c r="E43" s="21" t="s">
        <v>393</v>
      </c>
      <c r="F43" s="173">
        <f>SUM(F40:F42)</f>
        <v>0</v>
      </c>
      <c r="G43" s="173">
        <f>SUM(G40:G42)</f>
        <v>0</v>
      </c>
      <c r="H43" s="173">
        <f>SUM(H40:H42)</f>
        <v>0</v>
      </c>
      <c r="I43" s="173">
        <f>SUM(I40:I42)</f>
        <v>0</v>
      </c>
      <c r="J43" s="54"/>
    </row>
    <row r="44" spans="1:10" ht="15" thickTop="1" x14ac:dyDescent="0.3">
      <c r="A44" s="16"/>
      <c r="B44" s="178"/>
      <c r="C44" s="17"/>
      <c r="D44" s="179"/>
      <c r="E44" s="179"/>
      <c r="F44" s="17"/>
      <c r="G44" s="179"/>
      <c r="H44" s="179"/>
      <c r="I44" s="58"/>
      <c r="J44" s="60"/>
    </row>
  </sheetData>
  <mergeCells count="22">
    <mergeCell ref="D11:E11"/>
    <mergeCell ref="G1:H1"/>
    <mergeCell ref="G11:H11"/>
    <mergeCell ref="G8:H8"/>
    <mergeCell ref="D2:E2"/>
    <mergeCell ref="D1:E1"/>
    <mergeCell ref="D3:E3"/>
    <mergeCell ref="D5:E5"/>
    <mergeCell ref="D6:E6"/>
    <mergeCell ref="D7:E7"/>
    <mergeCell ref="D8:E8"/>
    <mergeCell ref="G2:H2"/>
    <mergeCell ref="G3:H3"/>
    <mergeCell ref="G5:H5"/>
    <mergeCell ref="G6:H6"/>
    <mergeCell ref="G7:H7"/>
    <mergeCell ref="J11:K11"/>
    <mergeCell ref="J3:K3"/>
    <mergeCell ref="J5:K5"/>
    <mergeCell ref="J6:K6"/>
    <mergeCell ref="J7:K7"/>
    <mergeCell ref="J8:K8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5"/>
  <dimension ref="A1:Z23"/>
  <sheetViews>
    <sheetView zoomScaleNormal="100" workbookViewId="0">
      <selection activeCell="B4" sqref="B4"/>
    </sheetView>
  </sheetViews>
  <sheetFormatPr defaultColWidth="2.88671875" defaultRowHeight="14.4" x14ac:dyDescent="0.3"/>
  <cols>
    <col min="1" max="1" width="2.88671875" style="51"/>
    <col min="2" max="2" width="36.6640625" style="51" bestFit="1" customWidth="1"/>
    <col min="3" max="3" width="2.88671875" style="51"/>
    <col min="4" max="4" width="37.6640625" style="149" customWidth="1"/>
    <col min="5" max="5" width="2.88671875" style="51"/>
    <col min="6" max="6" width="20.88671875" style="51" customWidth="1"/>
    <col min="7" max="7" width="2.88671875" style="51"/>
    <col min="8" max="8" width="70.44140625" style="148" bestFit="1" customWidth="1"/>
    <col min="9" max="16384" width="2.88671875" style="51"/>
  </cols>
  <sheetData>
    <row r="1" spans="1:26" x14ac:dyDescent="0.3">
      <c r="A1" s="47"/>
      <c r="B1" s="48"/>
      <c r="C1" s="166"/>
      <c r="D1" s="165" t="s">
        <v>30</v>
      </c>
      <c r="E1" s="166"/>
      <c r="F1" s="165" t="s">
        <v>23</v>
      </c>
      <c r="G1" s="48"/>
      <c r="H1" s="31" t="s">
        <v>52</v>
      </c>
      <c r="I1" s="50"/>
      <c r="Z1" s="111" t="s">
        <v>318</v>
      </c>
    </row>
    <row r="2" spans="1:26" x14ac:dyDescent="0.3">
      <c r="A2" s="52"/>
      <c r="B2" s="27" t="s">
        <v>34</v>
      </c>
      <c r="C2" s="163"/>
      <c r="D2" s="21" t="str">
        <f>General!D5</f>
        <v>Alexander Shafer</v>
      </c>
      <c r="E2" s="163"/>
      <c r="F2" s="21">
        <f>General!F6</f>
        <v>0</v>
      </c>
      <c r="G2" s="53"/>
      <c r="H2" s="164"/>
      <c r="I2" s="54"/>
      <c r="Z2" s="111" t="s">
        <v>317</v>
      </c>
    </row>
    <row r="3" spans="1:26" x14ac:dyDescent="0.3">
      <c r="A3" s="52"/>
      <c r="B3" s="65" t="s">
        <v>420</v>
      </c>
      <c r="C3" s="163"/>
      <c r="D3" s="113" t="str">
        <f>IF(General!D3="","",IF(General!D3="RTAC Data Concentrator","No","Yes"))</f>
        <v>Yes</v>
      </c>
      <c r="E3" s="163"/>
      <c r="F3" s="21"/>
      <c r="G3" s="53"/>
      <c r="H3" s="112" t="s">
        <v>99</v>
      </c>
      <c r="I3" s="54"/>
    </row>
    <row r="4" spans="1:26" x14ac:dyDescent="0.3">
      <c r="A4" s="52"/>
      <c r="B4" s="53"/>
      <c r="C4" s="53"/>
      <c r="D4" s="135"/>
      <c r="E4" s="74"/>
      <c r="F4" s="74"/>
      <c r="G4" s="53"/>
      <c r="H4" s="135"/>
      <c r="I4" s="54"/>
    </row>
    <row r="5" spans="1:26" x14ac:dyDescent="0.3">
      <c r="A5" s="52"/>
      <c r="B5" s="27" t="s">
        <v>316</v>
      </c>
      <c r="C5" s="53"/>
      <c r="D5" s="135"/>
      <c r="E5" s="74"/>
      <c r="F5" s="74"/>
      <c r="G5" s="53"/>
      <c r="H5" s="135"/>
      <c r="I5" s="54"/>
    </row>
    <row r="6" spans="1:26" x14ac:dyDescent="0.3">
      <c r="A6" s="52"/>
      <c r="B6" s="55" t="s">
        <v>315</v>
      </c>
      <c r="C6" s="53"/>
      <c r="D6" s="79"/>
      <c r="E6" s="74"/>
      <c r="F6" s="162"/>
      <c r="G6" s="53"/>
      <c r="H6" s="161" t="s">
        <v>314</v>
      </c>
      <c r="I6" s="54"/>
    </row>
    <row r="7" spans="1:26" x14ac:dyDescent="0.3">
      <c r="A7" s="52"/>
      <c r="B7" s="125" t="s">
        <v>313</v>
      </c>
      <c r="C7" s="53"/>
      <c r="D7" s="135"/>
      <c r="E7" s="74"/>
      <c r="F7" s="74"/>
      <c r="G7" s="53"/>
      <c r="H7" s="135"/>
      <c r="I7" s="54"/>
    </row>
    <row r="8" spans="1:26" x14ac:dyDescent="0.3">
      <c r="A8" s="52"/>
      <c r="B8" s="160" t="s">
        <v>312</v>
      </c>
      <c r="C8" s="53"/>
      <c r="D8" s="113"/>
      <c r="E8" s="74"/>
      <c r="F8" s="159"/>
      <c r="G8" s="53"/>
      <c r="H8" s="158" t="s">
        <v>311</v>
      </c>
      <c r="I8" s="54"/>
    </row>
    <row r="9" spans="1:26" x14ac:dyDescent="0.3">
      <c r="A9" s="52"/>
      <c r="B9" s="55" t="s">
        <v>310</v>
      </c>
      <c r="C9" s="53"/>
      <c r="D9" s="113"/>
      <c r="E9" s="157"/>
      <c r="F9" s="153"/>
      <c r="G9" s="53"/>
      <c r="H9" s="135"/>
      <c r="I9" s="54"/>
    </row>
    <row r="10" spans="1:26" x14ac:dyDescent="0.3">
      <c r="A10" s="52"/>
      <c r="B10" s="55" t="s">
        <v>309</v>
      </c>
      <c r="C10" s="53"/>
      <c r="D10" s="73"/>
      <c r="E10" s="157"/>
      <c r="F10" s="153"/>
      <c r="G10" s="53"/>
      <c r="H10" s="135"/>
      <c r="I10" s="54"/>
    </row>
    <row r="11" spans="1:26" x14ac:dyDescent="0.3">
      <c r="A11" s="52"/>
      <c r="B11" s="55" t="s">
        <v>308</v>
      </c>
      <c r="C11" s="53"/>
      <c r="D11" s="113"/>
      <c r="E11" s="74"/>
      <c r="F11" s="153"/>
      <c r="G11" s="53"/>
      <c r="H11" s="135"/>
      <c r="I11" s="54"/>
    </row>
    <row r="12" spans="1:26" x14ac:dyDescent="0.3">
      <c r="A12" s="52"/>
      <c r="B12" s="125" t="s">
        <v>307</v>
      </c>
      <c r="C12" s="53"/>
      <c r="D12" s="135"/>
      <c r="E12" s="74"/>
      <c r="F12" s="74"/>
      <c r="G12" s="53"/>
      <c r="H12" s="135"/>
      <c r="I12" s="54"/>
    </row>
    <row r="13" spans="1:26" x14ac:dyDescent="0.3">
      <c r="A13" s="52"/>
      <c r="B13" s="139" t="s">
        <v>306</v>
      </c>
      <c r="C13" s="53"/>
      <c r="D13" s="135"/>
      <c r="E13" s="74"/>
      <c r="F13" s="74"/>
      <c r="G13" s="53"/>
      <c r="H13" s="135"/>
      <c r="I13" s="54"/>
    </row>
    <row r="14" spans="1:26" x14ac:dyDescent="0.3">
      <c r="A14" s="52"/>
      <c r="B14" s="156" t="s">
        <v>305</v>
      </c>
      <c r="C14" s="53"/>
      <c r="D14" s="154"/>
      <c r="E14" s="74"/>
      <c r="F14" s="153"/>
      <c r="G14" s="53"/>
      <c r="H14" s="152" t="b">
        <v>0</v>
      </c>
      <c r="I14" s="54"/>
    </row>
    <row r="15" spans="1:26" x14ac:dyDescent="0.3">
      <c r="A15" s="52"/>
      <c r="B15" s="139" t="s">
        <v>18</v>
      </c>
      <c r="C15" s="53"/>
      <c r="D15" s="135"/>
      <c r="E15" s="74"/>
      <c r="F15" s="74"/>
      <c r="G15" s="53"/>
      <c r="H15" s="135"/>
      <c r="I15" s="54"/>
    </row>
    <row r="16" spans="1:26" x14ac:dyDescent="0.3">
      <c r="A16" s="52"/>
      <c r="B16" s="156" t="s">
        <v>304</v>
      </c>
      <c r="C16" s="53"/>
      <c r="D16" s="154"/>
      <c r="E16" s="74"/>
      <c r="F16" s="153"/>
      <c r="G16" s="53"/>
      <c r="H16" s="152" t="b">
        <v>0</v>
      </c>
      <c r="I16" s="54"/>
    </row>
    <row r="17" spans="1:9" x14ac:dyDescent="0.3">
      <c r="A17" s="52"/>
      <c r="B17" s="156" t="s">
        <v>303</v>
      </c>
      <c r="C17" s="53"/>
      <c r="D17" s="154"/>
      <c r="E17" s="74"/>
      <c r="F17" s="153"/>
      <c r="G17" s="53"/>
      <c r="H17" s="152" t="b">
        <v>0</v>
      </c>
      <c r="I17" s="54"/>
    </row>
    <row r="18" spans="1:9" x14ac:dyDescent="0.3">
      <c r="A18" s="52"/>
      <c r="B18" s="156" t="s">
        <v>302</v>
      </c>
      <c r="C18" s="53"/>
      <c r="D18" s="154"/>
      <c r="E18" s="74"/>
      <c r="F18" s="153"/>
      <c r="G18" s="53"/>
      <c r="H18" s="152">
        <v>1</v>
      </c>
      <c r="I18" s="54"/>
    </row>
    <row r="19" spans="1:9" x14ac:dyDescent="0.3">
      <c r="A19" s="52"/>
      <c r="B19" s="156" t="s">
        <v>301</v>
      </c>
      <c r="C19" s="53"/>
      <c r="D19" s="154"/>
      <c r="E19" s="74"/>
      <c r="F19" s="153"/>
      <c r="G19" s="53"/>
      <c r="H19" s="152">
        <v>2</v>
      </c>
      <c r="I19" s="54"/>
    </row>
    <row r="20" spans="1:9" x14ac:dyDescent="0.3">
      <c r="A20" s="52"/>
      <c r="B20" s="156" t="s">
        <v>300</v>
      </c>
      <c r="C20" s="53"/>
      <c r="D20" s="154"/>
      <c r="E20" s="74"/>
      <c r="F20" s="153"/>
      <c r="G20" s="53"/>
      <c r="H20" s="152">
        <v>3</v>
      </c>
      <c r="I20" s="54"/>
    </row>
    <row r="21" spans="1:9" x14ac:dyDescent="0.3">
      <c r="A21" s="52"/>
      <c r="B21" s="156" t="s">
        <v>299</v>
      </c>
      <c r="C21" s="53"/>
      <c r="D21" s="154"/>
      <c r="E21" s="74"/>
      <c r="F21" s="153"/>
      <c r="G21" s="53"/>
      <c r="H21" s="152">
        <v>4</v>
      </c>
      <c r="I21" s="54"/>
    </row>
    <row r="22" spans="1:9" x14ac:dyDescent="0.3">
      <c r="A22" s="52"/>
      <c r="B22" s="155" t="s">
        <v>298</v>
      </c>
      <c r="C22" s="53"/>
      <c r="D22" s="154"/>
      <c r="E22" s="74"/>
      <c r="F22" s="153"/>
      <c r="G22" s="53"/>
      <c r="H22" s="152">
        <v>5</v>
      </c>
      <c r="I22" s="54"/>
    </row>
    <row r="23" spans="1:9" x14ac:dyDescent="0.3">
      <c r="A23" s="57"/>
      <c r="B23" s="58"/>
      <c r="C23" s="58"/>
      <c r="D23" s="151"/>
      <c r="E23" s="58"/>
      <c r="F23" s="58"/>
      <c r="G23" s="58"/>
      <c r="H23" s="150"/>
      <c r="I23" s="60"/>
    </row>
  </sheetData>
  <dataValidations count="1">
    <dataValidation type="list" allowBlank="1" showInputMessage="1" showErrorMessage="1" sqref="D3" xr:uid="{00000000-0002-0000-0D00-000000000000}">
      <formula1>$Z$1:$Z$2</formula1>
    </dataValidation>
  </dataValidation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K49"/>
  <sheetViews>
    <sheetView zoomScaleNormal="100" workbookViewId="0"/>
  </sheetViews>
  <sheetFormatPr defaultColWidth="2.88671875" defaultRowHeight="14.4" x14ac:dyDescent="0.3"/>
  <cols>
    <col min="2" max="2" width="39.6640625" style="26" bestFit="1" customWidth="1"/>
    <col min="3" max="3" width="2.88671875" style="2"/>
    <col min="4" max="4" width="23.88671875" style="1" bestFit="1" customWidth="1"/>
    <col min="6" max="6" width="28.5546875" customWidth="1"/>
    <col min="8" max="8" width="44.88671875" style="40" customWidth="1"/>
  </cols>
  <sheetData>
    <row r="1" spans="1:11" x14ac:dyDescent="0.3">
      <c r="A1" s="8"/>
      <c r="B1" s="35"/>
      <c r="C1" s="9"/>
      <c r="D1" s="20" t="s">
        <v>30</v>
      </c>
      <c r="E1" s="9"/>
      <c r="F1" s="20" t="s">
        <v>23</v>
      </c>
      <c r="G1" s="9"/>
      <c r="H1" s="31" t="s">
        <v>52</v>
      </c>
      <c r="I1" s="10"/>
    </row>
    <row r="2" spans="1:11" x14ac:dyDescent="0.3">
      <c r="A2" s="11"/>
      <c r="B2" s="38" t="s">
        <v>11</v>
      </c>
      <c r="C2" s="13"/>
      <c r="D2" s="21" t="str">
        <f>General!D5</f>
        <v>Alexander Shafer</v>
      </c>
      <c r="E2" s="13"/>
      <c r="F2" s="21">
        <f>General!F6</f>
        <v>0</v>
      </c>
      <c r="G2" s="13"/>
      <c r="H2" s="22"/>
      <c r="I2" s="15"/>
    </row>
    <row r="3" spans="1:11" s="43" customFormat="1" ht="28.8" x14ac:dyDescent="0.3">
      <c r="A3" s="41"/>
      <c r="B3" s="30" t="s">
        <v>204</v>
      </c>
      <c r="C3" s="32"/>
      <c r="D3" s="70"/>
      <c r="E3" s="33"/>
      <c r="F3" s="81"/>
      <c r="G3" s="32"/>
      <c r="H3" s="121" t="s">
        <v>203</v>
      </c>
      <c r="I3" s="42"/>
    </row>
    <row r="4" spans="1:11" s="43" customFormat="1" ht="30" customHeight="1" x14ac:dyDescent="0.3">
      <c r="A4" s="41"/>
      <c r="B4" s="67" t="s">
        <v>0</v>
      </c>
      <c r="C4" s="32"/>
      <c r="D4" s="72"/>
      <c r="E4" s="33"/>
      <c r="F4" s="71"/>
      <c r="G4" s="32"/>
      <c r="H4" s="121" t="s">
        <v>202</v>
      </c>
      <c r="I4" s="42"/>
    </row>
    <row r="5" spans="1:11" x14ac:dyDescent="0.3">
      <c r="A5" s="11"/>
      <c r="B5" s="36"/>
      <c r="C5" s="13"/>
      <c r="D5" s="34"/>
      <c r="E5" s="33"/>
      <c r="F5" s="33"/>
      <c r="G5" s="13"/>
      <c r="H5" s="22"/>
      <c r="I5" s="15"/>
    </row>
    <row r="6" spans="1:11" x14ac:dyDescent="0.3">
      <c r="A6" s="11"/>
      <c r="B6" s="39" t="s">
        <v>32</v>
      </c>
      <c r="C6" s="13"/>
      <c r="D6" s="34"/>
      <c r="E6" s="33"/>
      <c r="F6" s="33"/>
      <c r="G6" s="13"/>
      <c r="H6" s="22"/>
      <c r="I6" s="15"/>
    </row>
    <row r="7" spans="1:11" x14ac:dyDescent="0.3">
      <c r="A7" s="11"/>
      <c r="B7" s="125" t="s">
        <v>1</v>
      </c>
      <c r="C7" s="13"/>
      <c r="D7" s="34"/>
      <c r="E7" s="33"/>
      <c r="F7" s="33"/>
      <c r="G7" s="13"/>
      <c r="H7" s="22"/>
      <c r="I7" s="15"/>
    </row>
    <row r="8" spans="1:11" x14ac:dyDescent="0.3">
      <c r="A8" s="11"/>
      <c r="B8" s="45" t="s">
        <v>5</v>
      </c>
      <c r="C8" s="13"/>
      <c r="D8" s="34"/>
      <c r="E8" s="33"/>
      <c r="F8" s="33"/>
      <c r="G8" s="13"/>
      <c r="H8" s="22"/>
      <c r="I8" s="15"/>
    </row>
    <row r="9" spans="1:11" x14ac:dyDescent="0.3">
      <c r="A9" s="11"/>
      <c r="B9" s="129" t="s">
        <v>201</v>
      </c>
      <c r="C9" s="13"/>
      <c r="D9" s="70"/>
      <c r="E9" s="33"/>
      <c r="F9" s="71"/>
      <c r="G9" s="13"/>
      <c r="H9" s="77" t="s">
        <v>200</v>
      </c>
      <c r="I9" s="15"/>
    </row>
    <row r="10" spans="1:11" x14ac:dyDescent="0.3">
      <c r="A10" s="11"/>
      <c r="B10" s="129" t="s">
        <v>199</v>
      </c>
      <c r="C10" s="13"/>
      <c r="D10" s="70"/>
      <c r="E10" s="33"/>
      <c r="F10" s="71"/>
      <c r="G10" s="13"/>
      <c r="H10" s="22"/>
      <c r="I10" s="15"/>
    </row>
    <row r="11" spans="1:11" x14ac:dyDescent="0.3">
      <c r="A11" s="11"/>
      <c r="B11" s="129" t="s">
        <v>2</v>
      </c>
      <c r="C11" s="13"/>
      <c r="D11" s="70"/>
      <c r="E11" s="33"/>
      <c r="F11" s="71"/>
      <c r="G11" s="13"/>
      <c r="H11" s="77" t="s">
        <v>198</v>
      </c>
      <c r="I11" s="15"/>
    </row>
    <row r="12" spans="1:11" x14ac:dyDescent="0.3">
      <c r="A12" s="11"/>
      <c r="B12" s="129" t="s">
        <v>33</v>
      </c>
      <c r="C12" s="13"/>
      <c r="D12" s="70"/>
      <c r="E12" s="33"/>
      <c r="F12" s="71"/>
      <c r="G12" s="13"/>
      <c r="H12" s="77" t="s">
        <v>197</v>
      </c>
      <c r="I12" s="15"/>
    </row>
    <row r="13" spans="1:11" x14ac:dyDescent="0.3">
      <c r="A13" s="11"/>
      <c r="B13" s="45" t="s">
        <v>6</v>
      </c>
      <c r="C13" s="13"/>
      <c r="D13" s="34"/>
      <c r="E13" s="33"/>
      <c r="F13" s="128"/>
      <c r="G13" s="13"/>
      <c r="H13" s="22"/>
      <c r="I13" s="15"/>
    </row>
    <row r="14" spans="1:11" x14ac:dyDescent="0.3">
      <c r="A14" s="11"/>
      <c r="B14" s="129" t="s">
        <v>3</v>
      </c>
      <c r="C14" s="13"/>
      <c r="D14" s="70"/>
      <c r="E14" s="33"/>
      <c r="F14" s="71"/>
      <c r="G14" s="13"/>
      <c r="H14" s="77" t="s">
        <v>196</v>
      </c>
      <c r="I14" s="15"/>
      <c r="J14" s="3"/>
      <c r="K14" s="3"/>
    </row>
    <row r="15" spans="1:11" x14ac:dyDescent="0.3">
      <c r="A15" s="11"/>
      <c r="B15" s="129" t="s">
        <v>4</v>
      </c>
      <c r="C15" s="13"/>
      <c r="D15" s="70"/>
      <c r="E15" s="33"/>
      <c r="F15" s="71"/>
      <c r="G15" s="13"/>
      <c r="H15" s="77" t="s">
        <v>196</v>
      </c>
      <c r="I15" s="15"/>
      <c r="J15" s="3"/>
      <c r="K15" s="3"/>
    </row>
    <row r="16" spans="1:11" x14ac:dyDescent="0.3">
      <c r="A16" s="11"/>
      <c r="B16" s="45" t="s">
        <v>195</v>
      </c>
      <c r="C16" s="13"/>
      <c r="D16" s="34"/>
      <c r="E16" s="33"/>
      <c r="F16" s="128"/>
      <c r="G16" s="13"/>
      <c r="H16" s="22"/>
      <c r="I16" s="15"/>
    </row>
    <row r="17" spans="1:11" x14ac:dyDescent="0.3">
      <c r="A17" s="11"/>
      <c r="B17" s="126" t="s">
        <v>7</v>
      </c>
      <c r="C17" s="13"/>
      <c r="D17" s="70"/>
      <c r="E17" s="33"/>
      <c r="F17" s="69"/>
      <c r="G17" s="13"/>
      <c r="H17" s="77">
        <v>5000</v>
      </c>
      <c r="I17" s="15"/>
      <c r="J17" s="3"/>
      <c r="K17" s="3"/>
    </row>
    <row r="18" spans="1:11" x14ac:dyDescent="0.3">
      <c r="A18" s="11"/>
      <c r="B18" s="126" t="s">
        <v>8</v>
      </c>
      <c r="C18" s="13"/>
      <c r="D18" s="70"/>
      <c r="E18" s="33"/>
      <c r="F18" s="69"/>
      <c r="G18" s="13"/>
      <c r="H18" s="77">
        <v>0</v>
      </c>
      <c r="I18" s="15"/>
      <c r="J18" s="3"/>
      <c r="K18" s="3"/>
    </row>
    <row r="19" spans="1:11" x14ac:dyDescent="0.3">
      <c r="A19" s="11"/>
      <c r="B19" s="126" t="s">
        <v>9</v>
      </c>
      <c r="C19" s="13"/>
      <c r="D19" s="70"/>
      <c r="E19" s="33"/>
      <c r="F19" s="69"/>
      <c r="G19" s="13"/>
      <c r="H19" s="77">
        <v>2000</v>
      </c>
      <c r="I19" s="15"/>
      <c r="J19" s="3"/>
      <c r="K19" s="3"/>
    </row>
    <row r="20" spans="1:11" x14ac:dyDescent="0.3">
      <c r="A20" s="11"/>
      <c r="B20" s="126" t="s">
        <v>10</v>
      </c>
      <c r="C20" s="13"/>
      <c r="D20" s="70"/>
      <c r="E20" s="33"/>
      <c r="F20" s="71"/>
      <c r="G20" s="13"/>
      <c r="H20" s="77">
        <v>3</v>
      </c>
      <c r="I20" s="15"/>
      <c r="J20" s="3"/>
      <c r="K20" s="3"/>
    </row>
    <row r="21" spans="1:11" x14ac:dyDescent="0.3">
      <c r="A21" s="11"/>
      <c r="B21" s="127" t="s">
        <v>194</v>
      </c>
      <c r="C21" s="13"/>
      <c r="D21" s="34"/>
      <c r="E21" s="33"/>
      <c r="F21" s="33"/>
      <c r="G21" s="13"/>
      <c r="H21" s="22"/>
      <c r="I21" s="15"/>
      <c r="J21" s="3"/>
      <c r="K21" s="3"/>
    </row>
    <row r="22" spans="1:11" x14ac:dyDescent="0.3">
      <c r="A22" s="11"/>
      <c r="B22" s="126" t="s">
        <v>193</v>
      </c>
      <c r="C22" s="13"/>
      <c r="D22" s="70"/>
      <c r="E22" s="33"/>
      <c r="F22" s="69"/>
      <c r="G22" s="13"/>
      <c r="H22" s="77" t="s">
        <v>192</v>
      </c>
      <c r="I22" s="15"/>
    </row>
    <row r="23" spans="1:11" x14ac:dyDescent="0.3">
      <c r="A23" s="11"/>
      <c r="B23" s="125" t="s">
        <v>18</v>
      </c>
      <c r="C23" s="13"/>
      <c r="D23" s="34"/>
      <c r="E23" s="33"/>
      <c r="F23" s="33"/>
      <c r="G23" s="13"/>
      <c r="H23" s="22"/>
      <c r="I23" s="15"/>
    </row>
    <row r="24" spans="1:11" x14ac:dyDescent="0.3">
      <c r="A24" s="11"/>
      <c r="B24" s="126" t="s">
        <v>191</v>
      </c>
      <c r="C24" s="13"/>
      <c r="D24" s="70"/>
      <c r="E24" s="33"/>
      <c r="F24" s="71"/>
      <c r="G24" s="13"/>
      <c r="H24" s="77" t="s">
        <v>190</v>
      </c>
      <c r="I24" s="15"/>
    </row>
    <row r="25" spans="1:11" x14ac:dyDescent="0.3">
      <c r="A25" s="11"/>
      <c r="B25" s="125" t="s">
        <v>19</v>
      </c>
      <c r="C25" s="13"/>
      <c r="D25" s="34"/>
      <c r="E25" s="33"/>
      <c r="F25" s="33"/>
      <c r="G25" s="13"/>
      <c r="H25" s="22"/>
      <c r="I25" s="15"/>
    </row>
    <row r="26" spans="1:11" ht="43.2" x14ac:dyDescent="0.3">
      <c r="A26" s="11"/>
      <c r="B26" s="124" t="s">
        <v>189</v>
      </c>
      <c r="C26" s="13"/>
      <c r="D26" s="70"/>
      <c r="E26" s="33"/>
      <c r="F26" s="71"/>
      <c r="G26" s="13"/>
      <c r="H26" s="123" t="s">
        <v>188</v>
      </c>
      <c r="I26" s="15"/>
    </row>
    <row r="27" spans="1:11" x14ac:dyDescent="0.3">
      <c r="A27" s="16"/>
      <c r="B27" s="37"/>
      <c r="C27" s="17"/>
      <c r="D27" s="18"/>
      <c r="E27" s="17"/>
      <c r="F27" s="17"/>
      <c r="G27" s="17"/>
      <c r="H27" s="44"/>
      <c r="I27" s="19"/>
    </row>
    <row r="28" spans="1:11" x14ac:dyDescent="0.3">
      <c r="E28" s="12"/>
    </row>
    <row r="29" spans="1:11" x14ac:dyDescent="0.3">
      <c r="E29" s="12"/>
    </row>
    <row r="30" spans="1:11" x14ac:dyDescent="0.3">
      <c r="E30" s="12"/>
    </row>
    <row r="31" spans="1:11" x14ac:dyDescent="0.3">
      <c r="E31" s="12"/>
    </row>
    <row r="32" spans="1:11" x14ac:dyDescent="0.3">
      <c r="E32" s="12"/>
    </row>
    <row r="33" spans="5:5" x14ac:dyDescent="0.3">
      <c r="E33" s="12"/>
    </row>
    <row r="34" spans="5:5" x14ac:dyDescent="0.3">
      <c r="E34" s="12"/>
    </row>
    <row r="35" spans="5:5" x14ac:dyDescent="0.3">
      <c r="E35" s="12"/>
    </row>
    <row r="36" spans="5:5" x14ac:dyDescent="0.3">
      <c r="E36" s="12"/>
    </row>
    <row r="37" spans="5:5" x14ac:dyDescent="0.3">
      <c r="E37" s="12"/>
    </row>
    <row r="38" spans="5:5" x14ac:dyDescent="0.3">
      <c r="E38" s="12"/>
    </row>
    <row r="39" spans="5:5" x14ac:dyDescent="0.3">
      <c r="E39" s="12"/>
    </row>
    <row r="40" spans="5:5" x14ac:dyDescent="0.3">
      <c r="E40" s="12"/>
    </row>
    <row r="41" spans="5:5" x14ac:dyDescent="0.3">
      <c r="E41" s="12"/>
    </row>
    <row r="42" spans="5:5" x14ac:dyDescent="0.3">
      <c r="E42" s="12"/>
    </row>
    <row r="43" spans="5:5" x14ac:dyDescent="0.3">
      <c r="E43" s="12"/>
    </row>
    <row r="44" spans="5:5" x14ac:dyDescent="0.3">
      <c r="E44" s="12"/>
    </row>
    <row r="45" spans="5:5" x14ac:dyDescent="0.3">
      <c r="E45" s="12"/>
    </row>
    <row r="46" spans="5:5" x14ac:dyDescent="0.3">
      <c r="E46" s="12"/>
    </row>
    <row r="47" spans="5:5" x14ac:dyDescent="0.3">
      <c r="E47" s="12"/>
    </row>
    <row r="48" spans="5:5" x14ac:dyDescent="0.3">
      <c r="E48" s="12"/>
    </row>
    <row r="49" spans="5:5" x14ac:dyDescent="0.3">
      <c r="E49" s="12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9"/>
  <dimension ref="A1:K40"/>
  <sheetViews>
    <sheetView zoomScaleNormal="100" workbookViewId="0"/>
  </sheetViews>
  <sheetFormatPr defaultColWidth="2.88671875" defaultRowHeight="14.4" x14ac:dyDescent="0.3"/>
  <cols>
    <col min="1" max="1" width="2.88671875" style="51"/>
    <col min="2" max="2" width="37.33203125" style="51" bestFit="1" customWidth="1"/>
    <col min="3" max="3" width="2.88671875" style="2"/>
    <col min="4" max="4" width="31.88671875" style="62" bestFit="1" customWidth="1"/>
    <col min="5" max="5" width="2.88671875" style="51"/>
    <col min="6" max="6" width="32.44140625" style="51" customWidth="1"/>
    <col min="7" max="7" width="2.88671875" style="61"/>
    <col min="8" max="8" width="44.88671875" style="40" customWidth="1"/>
    <col min="9" max="16384" width="2.88671875" style="51"/>
  </cols>
  <sheetData>
    <row r="1" spans="1:11" x14ac:dyDescent="0.3">
      <c r="A1" s="47"/>
      <c r="B1" s="48"/>
      <c r="C1" s="9"/>
      <c r="D1" s="20" t="s">
        <v>30</v>
      </c>
      <c r="E1" s="48"/>
      <c r="F1" s="20" t="s">
        <v>23</v>
      </c>
      <c r="G1" s="48"/>
      <c r="H1" s="31" t="s">
        <v>52</v>
      </c>
      <c r="I1" s="50"/>
    </row>
    <row r="2" spans="1:11" x14ac:dyDescent="0.3">
      <c r="A2" s="52"/>
      <c r="B2" s="27" t="s">
        <v>215</v>
      </c>
      <c r="C2" s="13"/>
      <c r="D2" s="21" t="str">
        <f>General!D5</f>
        <v>Alexander Shafer</v>
      </c>
      <c r="E2" s="13"/>
      <c r="F2" s="21">
        <f>General!F6</f>
        <v>0</v>
      </c>
      <c r="G2" s="53"/>
      <c r="H2" s="22"/>
      <c r="I2" s="54"/>
    </row>
    <row r="3" spans="1:11" x14ac:dyDescent="0.3">
      <c r="A3" s="52"/>
      <c r="B3" s="55" t="s">
        <v>214</v>
      </c>
      <c r="C3" s="32"/>
      <c r="D3" s="73"/>
      <c r="E3" s="74"/>
      <c r="F3" s="80"/>
      <c r="G3" s="53"/>
      <c r="H3" s="121" t="s">
        <v>213</v>
      </c>
      <c r="I3" s="54"/>
    </row>
    <row r="4" spans="1:11" x14ac:dyDescent="0.3">
      <c r="A4" s="52"/>
      <c r="B4" s="141" t="s">
        <v>0</v>
      </c>
      <c r="C4" s="32"/>
      <c r="D4" s="73"/>
      <c r="E4" s="74"/>
      <c r="F4" s="80"/>
      <c r="G4" s="53"/>
      <c r="H4" s="121" t="s">
        <v>212</v>
      </c>
      <c r="I4" s="54"/>
    </row>
    <row r="5" spans="1:11" x14ac:dyDescent="0.3">
      <c r="A5" s="52"/>
      <c r="B5" s="53"/>
      <c r="C5" s="13"/>
      <c r="D5" s="135"/>
      <c r="E5" s="74"/>
      <c r="F5" s="74"/>
      <c r="G5" s="53"/>
      <c r="H5" s="22"/>
      <c r="I5" s="54"/>
    </row>
    <row r="6" spans="1:11" x14ac:dyDescent="0.3">
      <c r="A6" s="52"/>
      <c r="B6" s="140" t="s">
        <v>211</v>
      </c>
      <c r="C6" s="13"/>
      <c r="D6" s="135"/>
      <c r="E6" s="74"/>
      <c r="F6" s="74"/>
      <c r="G6" s="53"/>
      <c r="H6" s="22"/>
      <c r="I6" s="54"/>
    </row>
    <row r="7" spans="1:11" x14ac:dyDescent="0.3">
      <c r="A7" s="52"/>
      <c r="B7" s="139" t="s">
        <v>1</v>
      </c>
      <c r="C7" s="13"/>
      <c r="D7" s="135"/>
      <c r="E7" s="74"/>
      <c r="F7" s="74"/>
      <c r="G7" s="53"/>
      <c r="H7" s="22"/>
      <c r="I7" s="54"/>
    </row>
    <row r="8" spans="1:11" x14ac:dyDescent="0.3">
      <c r="A8" s="52"/>
      <c r="B8" s="136" t="s">
        <v>5</v>
      </c>
      <c r="C8" s="13"/>
      <c r="D8" s="135"/>
      <c r="E8" s="74"/>
      <c r="F8" s="74"/>
      <c r="G8" s="53"/>
      <c r="H8" s="22"/>
      <c r="I8" s="54"/>
    </row>
    <row r="9" spans="1:11" x14ac:dyDescent="0.3">
      <c r="A9" s="52"/>
      <c r="B9" s="133" t="s">
        <v>15</v>
      </c>
      <c r="C9" s="13"/>
      <c r="D9" s="73"/>
      <c r="E9" s="74"/>
      <c r="F9" s="80"/>
      <c r="G9" s="53"/>
      <c r="H9" s="77" t="s">
        <v>14</v>
      </c>
      <c r="I9" s="54"/>
    </row>
    <row r="10" spans="1:11" ht="28.8" x14ac:dyDescent="0.3">
      <c r="A10" s="52"/>
      <c r="B10" s="138" t="s">
        <v>2</v>
      </c>
      <c r="C10" s="13"/>
      <c r="D10" s="73"/>
      <c r="E10" s="74"/>
      <c r="F10" s="80"/>
      <c r="G10" s="137"/>
      <c r="H10" s="121" t="s">
        <v>210</v>
      </c>
      <c r="I10" s="54"/>
    </row>
    <row r="11" spans="1:11" x14ac:dyDescent="0.3">
      <c r="A11" s="52"/>
      <c r="B11" s="136" t="s">
        <v>6</v>
      </c>
      <c r="C11" s="13"/>
      <c r="D11" s="135"/>
      <c r="E11" s="74"/>
      <c r="F11" s="134"/>
      <c r="G11" s="53"/>
      <c r="H11" s="22"/>
      <c r="I11" s="54"/>
    </row>
    <row r="12" spans="1:11" x14ac:dyDescent="0.3">
      <c r="A12" s="52"/>
      <c r="B12" s="133" t="s">
        <v>3</v>
      </c>
      <c r="C12" s="13"/>
      <c r="D12" s="73"/>
      <c r="E12" s="74"/>
      <c r="F12" s="79"/>
      <c r="G12" s="53"/>
      <c r="H12" s="77" t="s">
        <v>196</v>
      </c>
      <c r="I12" s="54"/>
      <c r="J12" s="3"/>
      <c r="K12" s="3"/>
    </row>
    <row r="13" spans="1:11" x14ac:dyDescent="0.3">
      <c r="A13" s="52"/>
      <c r="B13" s="133" t="s">
        <v>4</v>
      </c>
      <c r="C13" s="13"/>
      <c r="D13" s="73"/>
      <c r="E13" s="74"/>
      <c r="F13" s="79"/>
      <c r="G13" s="53"/>
      <c r="H13" s="77" t="s">
        <v>196</v>
      </c>
      <c r="I13" s="54"/>
      <c r="J13" s="3"/>
      <c r="K13" s="3"/>
    </row>
    <row r="14" spans="1:11" x14ac:dyDescent="0.3">
      <c r="A14" s="52"/>
      <c r="B14" s="133" t="s">
        <v>209</v>
      </c>
      <c r="C14" s="13"/>
      <c r="D14" s="73"/>
      <c r="E14" s="74"/>
      <c r="F14" s="79"/>
      <c r="G14" s="53"/>
      <c r="H14" s="77" t="b">
        <v>0</v>
      </c>
      <c r="I14" s="54"/>
      <c r="J14" s="3"/>
      <c r="K14" s="3"/>
    </row>
    <row r="15" spans="1:11" x14ac:dyDescent="0.3">
      <c r="A15" s="52"/>
      <c r="B15" s="133" t="s">
        <v>208</v>
      </c>
      <c r="C15" s="13"/>
      <c r="D15" s="79"/>
      <c r="E15" s="74"/>
      <c r="F15" s="79"/>
      <c r="G15" s="53"/>
      <c r="H15" s="77" t="s">
        <v>207</v>
      </c>
      <c r="I15" s="54"/>
      <c r="J15" s="3"/>
      <c r="K15" s="3"/>
    </row>
    <row r="16" spans="1:11" x14ac:dyDescent="0.3">
      <c r="A16" s="52"/>
      <c r="B16" s="132" t="s">
        <v>206</v>
      </c>
      <c r="C16" s="13"/>
      <c r="D16" s="79"/>
      <c r="E16" s="74"/>
      <c r="F16" s="79"/>
      <c r="G16" s="53"/>
      <c r="H16" s="22"/>
      <c r="I16" s="54"/>
      <c r="J16" s="3"/>
      <c r="K16" s="3"/>
    </row>
    <row r="17" spans="1:11" x14ac:dyDescent="0.3">
      <c r="A17" s="52"/>
      <c r="B17" s="131" t="s">
        <v>205</v>
      </c>
      <c r="C17" s="13"/>
      <c r="D17" s="130"/>
      <c r="E17" s="74"/>
      <c r="F17" s="79"/>
      <c r="G17" s="53"/>
      <c r="H17" s="77" t="b">
        <v>0</v>
      </c>
      <c r="I17" s="54"/>
      <c r="J17" s="3"/>
      <c r="K17" s="3"/>
    </row>
    <row r="18" spans="1:11" x14ac:dyDescent="0.3">
      <c r="A18" s="57"/>
      <c r="B18" s="58"/>
      <c r="C18" s="17"/>
      <c r="D18" s="59"/>
      <c r="E18" s="58"/>
      <c r="F18" s="58"/>
      <c r="G18" s="58"/>
      <c r="H18" s="44"/>
      <c r="I18" s="60"/>
    </row>
    <row r="19" spans="1:11" x14ac:dyDescent="0.3">
      <c r="E19" s="63"/>
    </row>
    <row r="20" spans="1:11" x14ac:dyDescent="0.3">
      <c r="E20" s="63"/>
    </row>
    <row r="21" spans="1:11" x14ac:dyDescent="0.3">
      <c r="E21" s="63"/>
    </row>
    <row r="22" spans="1:11" x14ac:dyDescent="0.3">
      <c r="E22" s="63"/>
    </row>
    <row r="23" spans="1:11" x14ac:dyDescent="0.3">
      <c r="E23" s="63"/>
    </row>
    <row r="24" spans="1:11" x14ac:dyDescent="0.3">
      <c r="E24" s="63"/>
    </row>
    <row r="25" spans="1:11" x14ac:dyDescent="0.3">
      <c r="E25" s="63"/>
    </row>
    <row r="26" spans="1:11" x14ac:dyDescent="0.3">
      <c r="E26" s="63"/>
    </row>
    <row r="27" spans="1:11" x14ac:dyDescent="0.3">
      <c r="E27" s="63"/>
    </row>
    <row r="28" spans="1:11" x14ac:dyDescent="0.3">
      <c r="E28" s="63"/>
    </row>
    <row r="29" spans="1:11" x14ac:dyDescent="0.3">
      <c r="E29" s="63"/>
    </row>
    <row r="30" spans="1:11" x14ac:dyDescent="0.3">
      <c r="E30" s="63"/>
    </row>
    <row r="31" spans="1:11" x14ac:dyDescent="0.3">
      <c r="E31" s="63"/>
    </row>
    <row r="32" spans="1:11" x14ac:dyDescent="0.3">
      <c r="E32" s="63"/>
    </row>
    <row r="33" spans="5:5" x14ac:dyDescent="0.3">
      <c r="E33" s="63"/>
    </row>
    <row r="34" spans="5:5" x14ac:dyDescent="0.3">
      <c r="E34" s="63"/>
    </row>
    <row r="35" spans="5:5" x14ac:dyDescent="0.3">
      <c r="E35" s="63"/>
    </row>
    <row r="36" spans="5:5" x14ac:dyDescent="0.3">
      <c r="E36" s="63"/>
    </row>
    <row r="37" spans="5:5" x14ac:dyDescent="0.3">
      <c r="E37" s="63"/>
    </row>
    <row r="38" spans="5:5" x14ac:dyDescent="0.3">
      <c r="E38" s="63"/>
    </row>
    <row r="39" spans="5:5" x14ac:dyDescent="0.3">
      <c r="E39" s="63"/>
    </row>
    <row r="40" spans="5:5" x14ac:dyDescent="0.3">
      <c r="E40" s="63"/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0"/>
  <dimension ref="A1:K32"/>
  <sheetViews>
    <sheetView zoomScaleNormal="100" workbookViewId="0"/>
  </sheetViews>
  <sheetFormatPr defaultColWidth="2.88671875" defaultRowHeight="14.4" x14ac:dyDescent="0.3"/>
  <cols>
    <col min="2" max="2" width="22.5546875" bestFit="1" customWidth="1"/>
    <col min="3" max="3" width="2.88671875" style="2"/>
    <col min="4" max="4" width="27.5546875" style="1" customWidth="1"/>
    <col min="6" max="6" width="28.5546875" customWidth="1"/>
    <col min="7" max="7" width="2.6640625" customWidth="1"/>
    <col min="8" max="8" width="24.109375" customWidth="1"/>
  </cols>
  <sheetData>
    <row r="1" spans="1:11" x14ac:dyDescent="0.3">
      <c r="A1" s="8"/>
      <c r="B1" s="9"/>
      <c r="C1" s="9"/>
      <c r="D1" s="20" t="s">
        <v>30</v>
      </c>
      <c r="E1" s="9"/>
      <c r="F1" s="20" t="s">
        <v>23</v>
      </c>
      <c r="G1" s="48"/>
      <c r="H1" s="31" t="s">
        <v>52</v>
      </c>
      <c r="I1" s="10"/>
    </row>
    <row r="2" spans="1:11" x14ac:dyDescent="0.3">
      <c r="A2" s="11"/>
      <c r="B2" s="27" t="s">
        <v>222</v>
      </c>
      <c r="C2" s="13"/>
      <c r="D2" s="21" t="str">
        <f>General!D5</f>
        <v>Alexander Shafer</v>
      </c>
      <c r="E2" s="13"/>
      <c r="F2" s="21">
        <f>General!F6</f>
        <v>0</v>
      </c>
      <c r="G2" s="53"/>
      <c r="H2" s="22"/>
      <c r="I2" s="15"/>
    </row>
    <row r="3" spans="1:11" x14ac:dyDescent="0.3">
      <c r="A3" s="11"/>
      <c r="B3" s="28" t="s">
        <v>221</v>
      </c>
      <c r="C3" s="13"/>
      <c r="D3" s="68"/>
      <c r="E3" s="33"/>
      <c r="F3" s="68"/>
      <c r="G3" s="53"/>
      <c r="H3" s="22"/>
      <c r="I3" s="15"/>
    </row>
    <row r="4" spans="1:11" x14ac:dyDescent="0.3">
      <c r="A4" s="11"/>
      <c r="B4" s="82" t="s">
        <v>31</v>
      </c>
      <c r="C4" s="13"/>
      <c r="D4" s="33"/>
      <c r="E4" s="33"/>
      <c r="F4" s="33"/>
      <c r="G4" s="53"/>
      <c r="H4" s="22"/>
      <c r="I4" s="15"/>
    </row>
    <row r="5" spans="1:11" x14ac:dyDescent="0.3">
      <c r="A5" s="11"/>
      <c r="B5" s="28" t="s">
        <v>220</v>
      </c>
      <c r="C5" s="13"/>
      <c r="D5" s="69"/>
      <c r="E5" s="33"/>
      <c r="F5" s="69"/>
      <c r="G5" s="53"/>
      <c r="H5" s="121">
        <v>2</v>
      </c>
      <c r="I5" s="15"/>
    </row>
    <row r="6" spans="1:11" x14ac:dyDescent="0.3">
      <c r="A6" s="11"/>
      <c r="B6" s="28" t="s">
        <v>219</v>
      </c>
      <c r="C6" s="13"/>
      <c r="D6" s="69"/>
      <c r="E6" s="33"/>
      <c r="F6" s="69"/>
      <c r="G6" s="53"/>
      <c r="H6" s="121">
        <v>2</v>
      </c>
      <c r="I6" s="15"/>
      <c r="J6" s="3"/>
      <c r="K6" s="3"/>
    </row>
    <row r="7" spans="1:11" x14ac:dyDescent="0.3">
      <c r="A7" s="11"/>
      <c r="B7" s="82" t="s">
        <v>218</v>
      </c>
      <c r="C7" s="13"/>
      <c r="D7" s="33"/>
      <c r="E7" s="33"/>
      <c r="F7" s="33"/>
      <c r="G7" s="53"/>
      <c r="H7" s="22"/>
      <c r="I7" s="15"/>
    </row>
    <row r="8" spans="1:11" x14ac:dyDescent="0.3">
      <c r="A8" s="11"/>
      <c r="B8" s="28" t="s">
        <v>217</v>
      </c>
      <c r="C8" s="13"/>
      <c r="D8" s="69"/>
      <c r="E8" s="33"/>
      <c r="F8" s="69"/>
      <c r="G8" s="53"/>
      <c r="H8" s="121">
        <v>2</v>
      </c>
      <c r="I8" s="15"/>
    </row>
    <row r="9" spans="1:11" x14ac:dyDescent="0.3">
      <c r="A9" s="11"/>
      <c r="B9" s="29" t="s">
        <v>216</v>
      </c>
      <c r="C9" s="13"/>
      <c r="D9" s="69"/>
      <c r="E9" s="33"/>
      <c r="F9" s="69"/>
      <c r="G9" s="53"/>
      <c r="H9" s="121">
        <v>2</v>
      </c>
      <c r="I9" s="15"/>
      <c r="J9" s="3"/>
      <c r="K9" s="3"/>
    </row>
    <row r="10" spans="1:11" x14ac:dyDescent="0.3">
      <c r="A10" s="16"/>
      <c r="B10" s="17"/>
      <c r="C10" s="17"/>
      <c r="D10" s="18"/>
      <c r="E10" s="17"/>
      <c r="F10" s="17"/>
      <c r="G10" s="17"/>
      <c r="H10" s="17"/>
      <c r="I10" s="19"/>
    </row>
    <row r="11" spans="1:11" x14ac:dyDescent="0.3">
      <c r="E11" s="12"/>
    </row>
    <row r="12" spans="1:11" x14ac:dyDescent="0.3">
      <c r="E12" s="12"/>
    </row>
    <row r="13" spans="1:11" x14ac:dyDescent="0.3">
      <c r="E13" s="12"/>
    </row>
    <row r="14" spans="1:11" x14ac:dyDescent="0.3">
      <c r="E14" s="12"/>
    </row>
    <row r="15" spans="1:11" x14ac:dyDescent="0.3">
      <c r="E15" s="12"/>
    </row>
    <row r="16" spans="1:11" x14ac:dyDescent="0.3">
      <c r="E16" s="12"/>
    </row>
    <row r="17" spans="5:5" x14ac:dyDescent="0.3">
      <c r="E17" s="12"/>
    </row>
    <row r="18" spans="5:5" x14ac:dyDescent="0.3">
      <c r="E18" s="12"/>
    </row>
    <row r="19" spans="5:5" x14ac:dyDescent="0.3">
      <c r="E19" s="12"/>
    </row>
    <row r="20" spans="5:5" x14ac:dyDescent="0.3">
      <c r="E20" s="12"/>
    </row>
    <row r="21" spans="5:5" x14ac:dyDescent="0.3">
      <c r="E21" s="12"/>
    </row>
    <row r="22" spans="5:5" x14ac:dyDescent="0.3">
      <c r="E22" s="12"/>
    </row>
    <row r="23" spans="5:5" x14ac:dyDescent="0.3">
      <c r="E23" s="12"/>
    </row>
    <row r="24" spans="5:5" x14ac:dyDescent="0.3">
      <c r="E24" s="12"/>
    </row>
    <row r="25" spans="5:5" x14ac:dyDescent="0.3">
      <c r="E25" s="12"/>
    </row>
    <row r="26" spans="5:5" x14ac:dyDescent="0.3">
      <c r="E26" s="12"/>
    </row>
    <row r="27" spans="5:5" x14ac:dyDescent="0.3">
      <c r="E27" s="12"/>
    </row>
    <row r="28" spans="5:5" x14ac:dyDescent="0.3">
      <c r="E28" s="12"/>
    </row>
    <row r="29" spans="5:5" x14ac:dyDescent="0.3">
      <c r="E29" s="12"/>
    </row>
    <row r="30" spans="5:5" x14ac:dyDescent="0.3">
      <c r="E30" s="12"/>
    </row>
    <row r="31" spans="5:5" x14ac:dyDescent="0.3">
      <c r="E31" s="12"/>
    </row>
    <row r="32" spans="5:5" x14ac:dyDescent="0.3">
      <c r="E32" s="12"/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/>
  <dimension ref="A1:I8"/>
  <sheetViews>
    <sheetView workbookViewId="0"/>
  </sheetViews>
  <sheetFormatPr defaultRowHeight="14.4" x14ac:dyDescent="0.3"/>
  <cols>
    <col min="1" max="1" width="3.6640625" customWidth="1"/>
    <col min="2" max="2" width="36" bestFit="1" customWidth="1"/>
    <col min="4" max="4" width="31.88671875" bestFit="1" customWidth="1"/>
    <col min="6" max="6" width="32.44140625" customWidth="1"/>
    <col min="8" max="8" width="44.88671875" customWidth="1"/>
  </cols>
  <sheetData>
    <row r="1" spans="1:9" x14ac:dyDescent="0.3">
      <c r="A1" s="47"/>
      <c r="B1" s="48"/>
      <c r="C1" s="9"/>
      <c r="D1" s="20" t="s">
        <v>30</v>
      </c>
      <c r="E1" s="48"/>
      <c r="F1" s="20" t="s">
        <v>23</v>
      </c>
      <c r="G1" s="48"/>
      <c r="H1" s="31" t="s">
        <v>52</v>
      </c>
      <c r="I1" s="50"/>
    </row>
    <row r="2" spans="1:9" x14ac:dyDescent="0.3">
      <c r="A2" s="52"/>
      <c r="B2" s="27" t="s">
        <v>232</v>
      </c>
      <c r="C2" s="13"/>
      <c r="D2" s="21" t="str">
        <f>General!D5</f>
        <v>Alexander Shafer</v>
      </c>
      <c r="E2" s="13"/>
      <c r="F2" s="21">
        <f>General!F6</f>
        <v>0</v>
      </c>
      <c r="G2" s="53"/>
      <c r="H2" s="22"/>
      <c r="I2" s="54"/>
    </row>
    <row r="3" spans="1:9" x14ac:dyDescent="0.3">
      <c r="A3" s="52"/>
      <c r="B3" s="65" t="s">
        <v>231</v>
      </c>
      <c r="C3" s="32"/>
      <c r="D3" s="73" t="str">
        <f>IF('General Settings'!D3="NO","N/A","")</f>
        <v/>
      </c>
      <c r="E3" s="74"/>
      <c r="F3" s="80" t="str">
        <f>IF('General Settings'!D3="NO","N/A","")</f>
        <v/>
      </c>
      <c r="G3" s="53"/>
      <c r="H3" s="121" t="s">
        <v>230</v>
      </c>
      <c r="I3" s="54"/>
    </row>
    <row r="4" spans="1:9" x14ac:dyDescent="0.3">
      <c r="A4" s="52"/>
      <c r="B4" s="65" t="s">
        <v>229</v>
      </c>
      <c r="C4" s="32"/>
      <c r="D4" s="73" t="str">
        <f>IF('General Settings'!D3="NO","N/A","")</f>
        <v/>
      </c>
      <c r="E4" s="74"/>
      <c r="F4" s="80" t="str">
        <f>IF('General Settings'!D3="NO","N/A","")</f>
        <v/>
      </c>
      <c r="G4" s="53"/>
      <c r="H4" s="121" t="s">
        <v>228</v>
      </c>
      <c r="I4" s="54"/>
    </row>
    <row r="5" spans="1:9" x14ac:dyDescent="0.3">
      <c r="A5" s="52"/>
      <c r="B5" s="45" t="s">
        <v>227</v>
      </c>
      <c r="C5" s="32"/>
      <c r="D5" s="21"/>
      <c r="E5" s="13"/>
      <c r="F5" s="142"/>
      <c r="G5" s="53"/>
      <c r="H5" s="22"/>
      <c r="I5" s="54"/>
    </row>
    <row r="6" spans="1:9" x14ac:dyDescent="0.3">
      <c r="A6" s="52"/>
      <c r="B6" s="64" t="s">
        <v>226</v>
      </c>
      <c r="C6" s="32"/>
      <c r="D6" s="73" t="str">
        <f>IF('General Settings'!D3="NO","N/A","")</f>
        <v/>
      </c>
      <c r="E6" s="74"/>
      <c r="F6" s="80" t="str">
        <f>IF('General Settings'!D3="NO","N/A","")</f>
        <v/>
      </c>
      <c r="G6" s="53"/>
      <c r="H6" s="121" t="s">
        <v>225</v>
      </c>
      <c r="I6" s="54"/>
    </row>
    <row r="7" spans="1:9" x14ac:dyDescent="0.3">
      <c r="A7" s="52"/>
      <c r="B7" s="78" t="s">
        <v>224</v>
      </c>
      <c r="C7" s="32"/>
      <c r="D7" s="73" t="str">
        <f>IF('General Settings'!D3="NO","N/A","")</f>
        <v/>
      </c>
      <c r="E7" s="74"/>
      <c r="F7" s="80" t="str">
        <f>IF('General Settings'!D3="NO","N/A","")</f>
        <v/>
      </c>
      <c r="G7" s="53"/>
      <c r="H7" s="121" t="s">
        <v>223</v>
      </c>
      <c r="I7" s="54"/>
    </row>
    <row r="8" spans="1:9" x14ac:dyDescent="0.3">
      <c r="A8" s="57"/>
      <c r="B8" s="58"/>
      <c r="C8" s="17"/>
      <c r="D8" s="59"/>
      <c r="E8" s="58"/>
      <c r="F8" s="58"/>
      <c r="G8" s="58"/>
      <c r="H8" s="44"/>
      <c r="I8" s="60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2"/>
  <dimension ref="A1:I15"/>
  <sheetViews>
    <sheetView workbookViewId="0"/>
  </sheetViews>
  <sheetFormatPr defaultRowHeight="14.4" x14ac:dyDescent="0.3"/>
  <cols>
    <col min="1" max="1" width="2.6640625" customWidth="1"/>
    <col min="2" max="2" width="38.109375" bestFit="1" customWidth="1"/>
    <col min="3" max="3" width="2.6640625" customWidth="1"/>
    <col min="4" max="4" width="31.88671875" bestFit="1" customWidth="1"/>
    <col min="5" max="5" width="2.6640625" customWidth="1"/>
    <col min="6" max="6" width="32.44140625" customWidth="1"/>
    <col min="7" max="7" width="2.6640625" customWidth="1"/>
    <col min="8" max="8" width="31.5546875" customWidth="1"/>
    <col min="9" max="9" width="2.6640625" customWidth="1"/>
  </cols>
  <sheetData>
    <row r="1" spans="1:9" x14ac:dyDescent="0.3">
      <c r="A1" s="9"/>
      <c r="B1" s="48"/>
      <c r="C1" s="9"/>
      <c r="D1" s="20" t="s">
        <v>30</v>
      </c>
      <c r="E1" s="48"/>
      <c r="F1" s="20" t="s">
        <v>23</v>
      </c>
      <c r="G1" s="48"/>
      <c r="H1" s="31" t="s">
        <v>52</v>
      </c>
      <c r="I1" s="50"/>
    </row>
    <row r="2" spans="1:9" x14ac:dyDescent="0.3">
      <c r="A2" s="13"/>
      <c r="B2" s="27" t="s">
        <v>248</v>
      </c>
      <c r="C2" s="13"/>
      <c r="D2" s="21" t="str">
        <f>General!D5</f>
        <v>Alexander Shafer</v>
      </c>
      <c r="E2" s="13"/>
      <c r="F2" s="21">
        <f>General!F6</f>
        <v>0</v>
      </c>
      <c r="G2" s="53"/>
      <c r="H2" s="22"/>
      <c r="I2" s="54"/>
    </row>
    <row r="3" spans="1:9" x14ac:dyDescent="0.3">
      <c r="A3" s="32"/>
      <c r="B3" s="65" t="s">
        <v>247</v>
      </c>
      <c r="C3" s="32"/>
      <c r="D3" s="80" t="str">
        <f>IF('General Settings'!D3="NO","N/A","")</f>
        <v/>
      </c>
      <c r="E3" s="74"/>
      <c r="F3" s="80" t="str">
        <f>IF('General Settings'!D3="NO","N/A","")</f>
        <v/>
      </c>
      <c r="G3" s="53"/>
      <c r="H3" s="121" t="s">
        <v>246</v>
      </c>
      <c r="I3" s="54"/>
    </row>
    <row r="4" spans="1:9" x14ac:dyDescent="0.3">
      <c r="A4" s="32"/>
      <c r="B4" s="65" t="s">
        <v>245</v>
      </c>
      <c r="C4" s="32"/>
      <c r="D4" s="80" t="str">
        <f>IF('General Settings'!D3="NO","N/A","")</f>
        <v/>
      </c>
      <c r="E4" s="74"/>
      <c r="F4" s="80" t="str">
        <f>IF('General Settings'!D3="NO","N/A","")</f>
        <v/>
      </c>
      <c r="G4" s="53"/>
      <c r="H4" s="121" t="s">
        <v>244</v>
      </c>
      <c r="I4" s="54"/>
    </row>
    <row r="5" spans="1:9" x14ac:dyDescent="0.3">
      <c r="A5" s="32"/>
      <c r="B5" s="66" t="s">
        <v>243</v>
      </c>
      <c r="C5" s="32"/>
      <c r="D5" s="80" t="str">
        <f>IF('General Settings'!D3="NO","N/A","")</f>
        <v/>
      </c>
      <c r="E5" s="74"/>
      <c r="F5" s="80" t="str">
        <f>IF('General Settings'!D3="NO","N/A","")</f>
        <v/>
      </c>
      <c r="G5" s="53"/>
      <c r="H5" s="121" t="s">
        <v>242</v>
      </c>
      <c r="I5" s="54"/>
    </row>
    <row r="6" spans="1:9" x14ac:dyDescent="0.3">
      <c r="A6" s="13"/>
      <c r="B6" s="53"/>
      <c r="C6" s="13"/>
      <c r="D6" s="74"/>
      <c r="E6" s="74"/>
      <c r="F6" s="74"/>
      <c r="G6" s="53"/>
      <c r="H6" s="22"/>
      <c r="I6" s="54"/>
    </row>
    <row r="7" spans="1:9" x14ac:dyDescent="0.3">
      <c r="A7" s="13"/>
      <c r="B7" s="140" t="s">
        <v>241</v>
      </c>
      <c r="C7" s="13"/>
      <c r="D7" s="74"/>
      <c r="E7" s="74"/>
      <c r="F7" s="74"/>
      <c r="G7" s="53"/>
      <c r="H7" s="22"/>
      <c r="I7" s="54"/>
    </row>
    <row r="8" spans="1:9" x14ac:dyDescent="0.3">
      <c r="A8" s="13"/>
      <c r="B8" s="139" t="s">
        <v>240</v>
      </c>
      <c r="C8" s="13"/>
      <c r="D8" s="74"/>
      <c r="E8" s="74"/>
      <c r="F8" s="74"/>
      <c r="G8" s="53"/>
      <c r="H8" s="22"/>
      <c r="I8" s="54"/>
    </row>
    <row r="9" spans="1:9" x14ac:dyDescent="0.3">
      <c r="A9" s="32"/>
      <c r="B9" s="64" t="s">
        <v>239</v>
      </c>
      <c r="C9" s="32"/>
      <c r="D9" s="80" t="str">
        <f>IF('General Settings'!D3="NO","N/A","")</f>
        <v/>
      </c>
      <c r="E9" s="74"/>
      <c r="F9" s="80" t="str">
        <f>IF('General Settings'!D3="NO","N/A","")</f>
        <v/>
      </c>
      <c r="G9" s="53"/>
      <c r="H9" s="121" t="s">
        <v>238</v>
      </c>
      <c r="I9" s="54"/>
    </row>
    <row r="10" spans="1:9" x14ac:dyDescent="0.3">
      <c r="A10" s="32"/>
      <c r="B10" s="64" t="s">
        <v>237</v>
      </c>
      <c r="C10" s="32"/>
      <c r="D10" s="80" t="str">
        <f>IF('General Settings'!D3="NO","N/A","")</f>
        <v/>
      </c>
      <c r="E10" s="74"/>
      <c r="F10" s="80" t="str">
        <f>IF('General Settings'!D3="NO","N/A","")</f>
        <v/>
      </c>
      <c r="G10" s="53"/>
      <c r="H10" s="121" t="s">
        <v>236</v>
      </c>
      <c r="I10" s="54"/>
    </row>
    <row r="11" spans="1:9" x14ac:dyDescent="0.3">
      <c r="A11" s="13"/>
      <c r="B11" s="139" t="s">
        <v>18</v>
      </c>
      <c r="C11" s="13"/>
      <c r="D11" s="74"/>
      <c r="E11" s="74"/>
      <c r="F11" s="74"/>
      <c r="G11" s="53"/>
      <c r="H11" s="22"/>
      <c r="I11" s="54"/>
    </row>
    <row r="12" spans="1:9" x14ac:dyDescent="0.3">
      <c r="A12" s="13"/>
      <c r="B12" s="64" t="s">
        <v>235</v>
      </c>
      <c r="C12" s="13"/>
      <c r="D12" s="80" t="str">
        <f>IF('General Settings'!D3="NO","N/A","")</f>
        <v/>
      </c>
      <c r="E12" s="74"/>
      <c r="F12" s="80" t="str">
        <f>IF('General Settings'!D3="NO","N/A","")</f>
        <v/>
      </c>
      <c r="G12" s="53"/>
      <c r="H12" s="77" t="b">
        <v>0</v>
      </c>
      <c r="I12" s="54"/>
    </row>
    <row r="13" spans="1:9" x14ac:dyDescent="0.3">
      <c r="A13" s="13"/>
      <c r="B13" s="139" t="s">
        <v>234</v>
      </c>
      <c r="C13" s="13"/>
      <c r="D13" s="74"/>
      <c r="E13" s="74"/>
      <c r="F13" s="74"/>
      <c r="G13" s="53"/>
      <c r="H13" s="22"/>
      <c r="I13" s="54"/>
    </row>
    <row r="14" spans="1:9" x14ac:dyDescent="0.3">
      <c r="A14" s="13"/>
      <c r="B14" s="78" t="s">
        <v>233</v>
      </c>
      <c r="C14" s="13"/>
      <c r="D14" s="79" t="str">
        <f>IF('General Settings'!D3="NO","N/A","")</f>
        <v/>
      </c>
      <c r="E14" s="74"/>
      <c r="F14" s="79" t="str">
        <f>IF('General Settings'!D3="NO","N/A","")</f>
        <v/>
      </c>
      <c r="G14" s="53"/>
      <c r="H14" s="22"/>
      <c r="I14" s="54"/>
    </row>
    <row r="15" spans="1:9" x14ac:dyDescent="0.3">
      <c r="A15" s="17"/>
      <c r="B15" s="58"/>
      <c r="C15" s="17"/>
      <c r="D15" s="59"/>
      <c r="E15" s="58"/>
      <c r="F15" s="58"/>
      <c r="G15" s="58"/>
      <c r="H15" s="44"/>
      <c r="I15" s="60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3"/>
  <dimension ref="A1:I36"/>
  <sheetViews>
    <sheetView zoomScaleNormal="100" workbookViewId="0"/>
  </sheetViews>
  <sheetFormatPr defaultColWidth="2.88671875" defaultRowHeight="14.4" x14ac:dyDescent="0.3"/>
  <cols>
    <col min="2" max="2" width="31.88671875" bestFit="1" customWidth="1"/>
    <col min="3" max="3" width="2.88671875" style="2"/>
    <col min="4" max="4" width="27.5546875" style="1" customWidth="1"/>
    <col min="6" max="6" width="28.5546875" customWidth="1"/>
    <col min="7" max="7" width="2.88671875" style="2"/>
    <col min="8" max="8" width="40.6640625" style="1" bestFit="1" customWidth="1"/>
  </cols>
  <sheetData>
    <row r="1" spans="1:9" x14ac:dyDescent="0.3">
      <c r="A1" s="8"/>
      <c r="B1" s="9"/>
      <c r="C1" s="9"/>
      <c r="D1" s="20" t="s">
        <v>30</v>
      </c>
      <c r="E1" s="9"/>
      <c r="F1" s="20" t="s">
        <v>23</v>
      </c>
      <c r="G1" s="9"/>
      <c r="H1" s="31" t="s">
        <v>52</v>
      </c>
      <c r="I1" s="10"/>
    </row>
    <row r="2" spans="1:9" x14ac:dyDescent="0.3">
      <c r="A2" s="11"/>
      <c r="B2" s="27" t="s">
        <v>263</v>
      </c>
      <c r="C2" s="13"/>
      <c r="D2" s="21" t="str">
        <f>General!D5</f>
        <v>Alexander Shafer</v>
      </c>
      <c r="E2" s="13"/>
      <c r="F2" s="21">
        <f>General!F6</f>
        <v>0</v>
      </c>
      <c r="G2" s="13"/>
      <c r="H2" s="21"/>
      <c r="I2" s="15"/>
    </row>
    <row r="3" spans="1:9" x14ac:dyDescent="0.3">
      <c r="A3" s="11"/>
      <c r="B3" s="46" t="s">
        <v>262</v>
      </c>
      <c r="C3" s="13"/>
      <c r="D3" s="70"/>
      <c r="E3" s="33"/>
      <c r="F3" s="71"/>
      <c r="G3" s="33"/>
      <c r="H3" s="143" t="s">
        <v>261</v>
      </c>
      <c r="I3" s="15"/>
    </row>
    <row r="4" spans="1:9" x14ac:dyDescent="0.3">
      <c r="A4" s="11"/>
      <c r="B4" s="46" t="s">
        <v>0</v>
      </c>
      <c r="C4" s="13"/>
      <c r="D4" s="70"/>
      <c r="E4" s="33"/>
      <c r="F4" s="71"/>
      <c r="G4" s="33"/>
      <c r="H4" s="143" t="s">
        <v>260</v>
      </c>
      <c r="I4" s="15"/>
    </row>
    <row r="5" spans="1:9" x14ac:dyDescent="0.3">
      <c r="A5" s="11"/>
      <c r="B5" s="145" t="s">
        <v>1</v>
      </c>
      <c r="C5" s="13"/>
      <c r="D5" s="74"/>
      <c r="E5" s="74"/>
      <c r="F5" s="74"/>
      <c r="G5" s="33"/>
      <c r="H5" s="34"/>
      <c r="I5" s="15"/>
    </row>
    <row r="6" spans="1:9" x14ac:dyDescent="0.3">
      <c r="A6" s="11"/>
      <c r="B6" s="28" t="s">
        <v>259</v>
      </c>
      <c r="C6" s="13"/>
      <c r="D6" s="70"/>
      <c r="E6" s="33"/>
      <c r="F6" s="71"/>
      <c r="G6" s="33"/>
      <c r="H6" s="143" t="s">
        <v>258</v>
      </c>
      <c r="I6" s="15"/>
    </row>
    <row r="7" spans="1:9" x14ac:dyDescent="0.3">
      <c r="A7" s="11"/>
      <c r="B7" s="28" t="s">
        <v>257</v>
      </c>
      <c r="C7" s="13"/>
      <c r="D7" s="70"/>
      <c r="E7" s="33"/>
      <c r="F7" s="71"/>
      <c r="G7" s="33"/>
      <c r="H7" s="143">
        <v>32500</v>
      </c>
      <c r="I7" s="15"/>
    </row>
    <row r="8" spans="1:9" x14ac:dyDescent="0.3">
      <c r="A8" s="11"/>
      <c r="B8" s="145" t="s">
        <v>20</v>
      </c>
      <c r="C8" s="13"/>
      <c r="D8" s="74"/>
      <c r="E8" s="74"/>
      <c r="F8" s="74"/>
      <c r="G8" s="33"/>
      <c r="H8" s="34"/>
      <c r="I8" s="15"/>
    </row>
    <row r="9" spans="1:9" x14ac:dyDescent="0.3">
      <c r="A9" s="11"/>
      <c r="B9" s="28" t="s">
        <v>12</v>
      </c>
      <c r="C9" s="13"/>
      <c r="D9" s="70"/>
      <c r="E9" s="33"/>
      <c r="F9" s="69"/>
      <c r="G9" s="33"/>
      <c r="H9" s="143" t="s">
        <v>256</v>
      </c>
      <c r="I9" s="15"/>
    </row>
    <row r="10" spans="1:9" x14ac:dyDescent="0.3">
      <c r="A10" s="11"/>
      <c r="B10" s="28" t="s">
        <v>255</v>
      </c>
      <c r="C10" s="13"/>
      <c r="D10" s="70"/>
      <c r="E10" s="33"/>
      <c r="F10" s="71"/>
      <c r="G10" s="33"/>
      <c r="H10" s="143" t="s">
        <v>254</v>
      </c>
      <c r="I10" s="15"/>
    </row>
    <row r="11" spans="1:9" x14ac:dyDescent="0.3">
      <c r="A11" s="11"/>
      <c r="B11" s="28" t="s">
        <v>253</v>
      </c>
      <c r="C11" s="13"/>
      <c r="D11" s="70"/>
      <c r="E11" s="33"/>
      <c r="F11" s="71"/>
      <c r="G11" s="33"/>
      <c r="H11" s="143" t="s">
        <v>252</v>
      </c>
      <c r="I11" s="15"/>
    </row>
    <row r="12" spans="1:9" x14ac:dyDescent="0.3">
      <c r="A12" s="11"/>
      <c r="B12" s="144" t="s">
        <v>1</v>
      </c>
      <c r="C12" s="13"/>
      <c r="D12" s="74"/>
      <c r="E12" s="74"/>
      <c r="F12" s="74"/>
      <c r="G12" s="33"/>
      <c r="H12" s="34"/>
      <c r="I12" s="15"/>
    </row>
    <row r="13" spans="1:9" x14ac:dyDescent="0.3">
      <c r="A13" s="11"/>
      <c r="B13" s="129" t="s">
        <v>251</v>
      </c>
      <c r="C13" s="13"/>
      <c r="D13" s="70"/>
      <c r="E13" s="33"/>
      <c r="F13" s="71"/>
      <c r="G13" s="33"/>
      <c r="H13" s="143" t="b">
        <v>1</v>
      </c>
      <c r="I13" s="15"/>
    </row>
    <row r="14" spans="1:9" x14ac:dyDescent="0.3">
      <c r="A14" s="11"/>
      <c r="B14" s="129" t="s">
        <v>21</v>
      </c>
      <c r="C14" s="13"/>
      <c r="D14" s="70"/>
      <c r="E14" s="33"/>
      <c r="F14" s="71"/>
      <c r="G14" s="33"/>
      <c r="H14" s="143" t="s">
        <v>250</v>
      </c>
      <c r="I14" s="15"/>
    </row>
    <row r="15" spans="1:9" x14ac:dyDescent="0.3">
      <c r="A15" s="11"/>
      <c r="B15" s="144" t="s">
        <v>18</v>
      </c>
      <c r="C15" s="13"/>
      <c r="D15" s="74"/>
      <c r="E15" s="74"/>
      <c r="F15" s="74"/>
      <c r="G15" s="33"/>
      <c r="H15" s="34"/>
      <c r="I15" s="15"/>
    </row>
    <row r="16" spans="1:9" x14ac:dyDescent="0.3">
      <c r="A16" s="11"/>
      <c r="B16" s="124" t="s">
        <v>22</v>
      </c>
      <c r="C16" s="13"/>
      <c r="D16" s="70"/>
      <c r="E16" s="33"/>
      <c r="F16" s="71"/>
      <c r="G16" s="33"/>
      <c r="H16" s="143" t="s">
        <v>249</v>
      </c>
      <c r="I16" s="15"/>
    </row>
    <row r="17" spans="1:9" x14ac:dyDescent="0.3">
      <c r="A17" s="16"/>
      <c r="B17" s="17"/>
      <c r="C17" s="17"/>
      <c r="D17" s="18"/>
      <c r="E17" s="17"/>
      <c r="F17" s="17"/>
      <c r="G17" s="17"/>
      <c r="H17" s="18"/>
      <c r="I17" s="19"/>
    </row>
    <row r="18" spans="1:9" x14ac:dyDescent="0.3">
      <c r="E18" s="12"/>
    </row>
    <row r="19" spans="1:9" x14ac:dyDescent="0.3">
      <c r="E19" s="12"/>
    </row>
    <row r="20" spans="1:9" x14ac:dyDescent="0.3">
      <c r="E20" s="12"/>
    </row>
    <row r="21" spans="1:9" x14ac:dyDescent="0.3">
      <c r="E21" s="12"/>
    </row>
    <row r="22" spans="1:9" x14ac:dyDescent="0.3">
      <c r="E22" s="12"/>
    </row>
    <row r="23" spans="1:9" x14ac:dyDescent="0.3">
      <c r="E23" s="12"/>
    </row>
    <row r="24" spans="1:9" x14ac:dyDescent="0.3">
      <c r="E24" s="12"/>
    </row>
    <row r="25" spans="1:9" x14ac:dyDescent="0.3">
      <c r="E25" s="12"/>
    </row>
    <row r="26" spans="1:9" x14ac:dyDescent="0.3">
      <c r="E26" s="12"/>
    </row>
    <row r="27" spans="1:9" x14ac:dyDescent="0.3">
      <c r="E27" s="12"/>
    </row>
    <row r="28" spans="1:9" x14ac:dyDescent="0.3">
      <c r="E28" s="12"/>
    </row>
    <row r="29" spans="1:9" x14ac:dyDescent="0.3">
      <c r="E29" s="12"/>
    </row>
    <row r="30" spans="1:9" x14ac:dyDescent="0.3">
      <c r="E30" s="12"/>
    </row>
    <row r="31" spans="1:9" x14ac:dyDescent="0.3">
      <c r="E31" s="12"/>
    </row>
    <row r="32" spans="1:9" x14ac:dyDescent="0.3">
      <c r="E32" s="12"/>
    </row>
    <row r="33" spans="5:5" x14ac:dyDescent="0.3">
      <c r="E33" s="12"/>
    </row>
    <row r="34" spans="5:5" x14ac:dyDescent="0.3">
      <c r="E34" s="12"/>
    </row>
    <row r="35" spans="5:5" x14ac:dyDescent="0.3">
      <c r="E35" s="12"/>
    </row>
    <row r="36" spans="5:5" x14ac:dyDescent="0.3">
      <c r="E36" s="12"/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/>
  <dimension ref="A1:I51"/>
  <sheetViews>
    <sheetView zoomScaleNormal="100" workbookViewId="0"/>
  </sheetViews>
  <sheetFormatPr defaultColWidth="2.88671875" defaultRowHeight="14.4" x14ac:dyDescent="0.3"/>
  <cols>
    <col min="2" max="2" width="47.109375" bestFit="1" customWidth="1"/>
    <col min="3" max="3" width="2.88671875" style="2"/>
    <col min="4" max="4" width="27.5546875" style="1" customWidth="1"/>
    <col min="6" max="6" width="28.5546875" customWidth="1"/>
    <col min="8" max="8" width="52.44140625" customWidth="1"/>
  </cols>
  <sheetData>
    <row r="1" spans="1:9" x14ac:dyDescent="0.3">
      <c r="A1" s="8"/>
      <c r="B1" s="9"/>
      <c r="C1" s="9"/>
      <c r="D1" s="20" t="s">
        <v>30</v>
      </c>
      <c r="E1" s="9"/>
      <c r="F1" s="20" t="s">
        <v>23</v>
      </c>
      <c r="G1" s="9"/>
      <c r="H1" s="22"/>
      <c r="I1" s="54"/>
    </row>
    <row r="2" spans="1:9" x14ac:dyDescent="0.3">
      <c r="A2" s="11"/>
      <c r="B2" s="27" t="s">
        <v>297</v>
      </c>
      <c r="C2" s="13"/>
      <c r="D2" s="21" t="str">
        <f>General!D5</f>
        <v>Alexander Shafer</v>
      </c>
      <c r="E2" s="13"/>
      <c r="F2" s="21">
        <f>General!F6</f>
        <v>0</v>
      </c>
      <c r="G2" s="13"/>
      <c r="H2" s="22"/>
      <c r="I2" s="54"/>
    </row>
    <row r="3" spans="1:9" x14ac:dyDescent="0.3">
      <c r="A3" s="11"/>
      <c r="B3" s="46" t="s">
        <v>296</v>
      </c>
      <c r="C3" s="13"/>
      <c r="D3" s="70"/>
      <c r="E3" s="33"/>
      <c r="F3" s="71"/>
      <c r="G3" s="13"/>
      <c r="H3" s="22"/>
      <c r="I3" s="54"/>
    </row>
    <row r="4" spans="1:9" x14ac:dyDescent="0.3">
      <c r="A4" s="11"/>
      <c r="B4" s="28" t="s">
        <v>295</v>
      </c>
      <c r="C4" s="13"/>
      <c r="D4" s="70"/>
      <c r="E4" s="33"/>
      <c r="F4" s="71"/>
      <c r="G4" s="13"/>
      <c r="H4" s="22"/>
      <c r="I4" s="54"/>
    </row>
    <row r="5" spans="1:9" ht="29.25" customHeight="1" x14ac:dyDescent="0.3">
      <c r="A5" s="11"/>
      <c r="B5" s="30" t="s">
        <v>294</v>
      </c>
      <c r="C5" s="13"/>
      <c r="D5" s="70" t="str">
        <f>IF('General Settings'!D3="NO","N/A","")</f>
        <v/>
      </c>
      <c r="E5" s="33"/>
      <c r="F5" s="71" t="str">
        <f>IF('General Settings'!D3="NO","N/A","")</f>
        <v/>
      </c>
      <c r="G5" s="13"/>
      <c r="H5" s="121" t="s">
        <v>293</v>
      </c>
      <c r="I5" s="54"/>
    </row>
    <row r="6" spans="1:9" x14ac:dyDescent="0.3">
      <c r="A6" s="11"/>
      <c r="B6" s="28" t="s">
        <v>292</v>
      </c>
      <c r="C6" s="13"/>
      <c r="D6" s="75"/>
      <c r="E6" s="33"/>
      <c r="F6" s="71"/>
      <c r="G6" s="13"/>
      <c r="H6" s="22"/>
      <c r="I6" s="54"/>
    </row>
    <row r="7" spans="1:9" x14ac:dyDescent="0.3">
      <c r="A7" s="11"/>
      <c r="B7" s="28" t="s">
        <v>291</v>
      </c>
      <c r="C7" s="13"/>
      <c r="D7" s="70"/>
      <c r="E7" s="33"/>
      <c r="F7" s="71"/>
      <c r="G7" s="13"/>
      <c r="H7" s="22"/>
      <c r="I7" s="54"/>
    </row>
    <row r="8" spans="1:9" x14ac:dyDescent="0.3">
      <c r="A8" s="11"/>
      <c r="B8" s="129" t="s">
        <v>290</v>
      </c>
      <c r="C8" s="13"/>
      <c r="D8" s="70"/>
      <c r="E8" s="33"/>
      <c r="F8" s="71"/>
      <c r="G8" s="13"/>
      <c r="H8" s="121" t="s">
        <v>289</v>
      </c>
      <c r="I8" s="54"/>
    </row>
    <row r="9" spans="1:9" x14ac:dyDescent="0.3">
      <c r="A9" s="52"/>
      <c r="B9" s="64" t="s">
        <v>288</v>
      </c>
      <c r="C9" s="32"/>
      <c r="D9" s="73"/>
      <c r="E9" s="74"/>
      <c r="F9" s="80"/>
      <c r="G9" s="53"/>
      <c r="H9" s="121" t="s">
        <v>264</v>
      </c>
      <c r="I9" s="54"/>
    </row>
    <row r="10" spans="1:9" x14ac:dyDescent="0.3">
      <c r="A10" s="11"/>
      <c r="B10" s="28" t="s">
        <v>287</v>
      </c>
      <c r="C10" s="13"/>
      <c r="D10" s="70"/>
      <c r="E10" s="33"/>
      <c r="F10" s="71"/>
      <c r="G10" s="13"/>
      <c r="H10" s="22"/>
      <c r="I10" s="54"/>
    </row>
    <row r="11" spans="1:9" x14ac:dyDescent="0.3">
      <c r="A11" s="11"/>
      <c r="B11" s="28" t="s">
        <v>286</v>
      </c>
      <c r="C11" s="13"/>
      <c r="D11" s="70"/>
      <c r="E11" s="33"/>
      <c r="F11" s="71"/>
      <c r="G11" s="13"/>
      <c r="H11" s="22"/>
      <c r="I11" s="54"/>
    </row>
    <row r="12" spans="1:9" x14ac:dyDescent="0.3">
      <c r="A12" s="11"/>
      <c r="B12" s="147" t="s">
        <v>285</v>
      </c>
      <c r="C12" s="13"/>
      <c r="D12" s="70"/>
      <c r="E12" s="33"/>
      <c r="F12" s="71"/>
      <c r="G12" s="13"/>
      <c r="H12" s="22"/>
      <c r="I12" s="54"/>
    </row>
    <row r="13" spans="1:9" x14ac:dyDescent="0.3">
      <c r="A13" s="52"/>
      <c r="B13" s="64" t="s">
        <v>267</v>
      </c>
      <c r="C13" s="32"/>
      <c r="D13" s="73"/>
      <c r="E13" s="74"/>
      <c r="F13" s="80"/>
      <c r="G13" s="53"/>
      <c r="H13" s="121" t="s">
        <v>266</v>
      </c>
      <c r="I13" s="54"/>
    </row>
    <row r="14" spans="1:9" x14ac:dyDescent="0.3">
      <c r="A14" s="52"/>
      <c r="B14" s="64" t="s">
        <v>265</v>
      </c>
      <c r="C14" s="32"/>
      <c r="D14" s="73"/>
      <c r="E14" s="74"/>
      <c r="F14" s="80"/>
      <c r="G14" s="53"/>
      <c r="H14" s="121" t="s">
        <v>264</v>
      </c>
      <c r="I14" s="54"/>
    </row>
    <row r="15" spans="1:9" x14ac:dyDescent="0.3">
      <c r="A15" s="52"/>
      <c r="B15" s="45" t="s">
        <v>284</v>
      </c>
      <c r="C15" s="32"/>
      <c r="D15" s="21"/>
      <c r="E15" s="13"/>
      <c r="F15" s="142"/>
      <c r="G15" s="53"/>
      <c r="H15" s="22"/>
      <c r="I15" s="54"/>
    </row>
    <row r="16" spans="1:9" x14ac:dyDescent="0.3">
      <c r="A16" s="52"/>
      <c r="B16" s="64" t="s">
        <v>283</v>
      </c>
      <c r="C16" s="32"/>
      <c r="D16" s="73" t="str">
        <f>IF('General Settings'!D3="NO","N/A","")</f>
        <v/>
      </c>
      <c r="E16" s="74"/>
      <c r="F16" s="80" t="str">
        <f>IF('General Settings'!D3="NO","N/A","")</f>
        <v/>
      </c>
      <c r="G16" s="53"/>
      <c r="H16" s="22"/>
      <c r="I16" s="54"/>
    </row>
    <row r="17" spans="1:9" x14ac:dyDescent="0.3">
      <c r="A17" s="52"/>
      <c r="B17" s="64" t="s">
        <v>282</v>
      </c>
      <c r="C17" s="32"/>
      <c r="D17" s="73" t="str">
        <f>IF('General Settings'!D3="NO","N/A","")</f>
        <v/>
      </c>
      <c r="E17" s="74"/>
      <c r="F17" s="80" t="str">
        <f>IF('General Settings'!D3="NO","N/A","")</f>
        <v/>
      </c>
      <c r="G17" s="53"/>
      <c r="H17" s="121" t="s">
        <v>281</v>
      </c>
      <c r="I17" s="54"/>
    </row>
    <row r="18" spans="1:9" x14ac:dyDescent="0.3">
      <c r="A18" s="52"/>
      <c r="B18" s="64" t="s">
        <v>280</v>
      </c>
      <c r="C18" s="32"/>
      <c r="D18" s="73" t="str">
        <f>IF('General Settings'!D3="NO","N/A","")</f>
        <v/>
      </c>
      <c r="E18" s="74"/>
      <c r="F18" s="80" t="str">
        <f>IF('General Settings'!D3="NO","N/A","")</f>
        <v/>
      </c>
      <c r="G18" s="53"/>
      <c r="H18" s="146" t="s">
        <v>279</v>
      </c>
      <c r="I18" s="54"/>
    </row>
    <row r="19" spans="1:9" x14ac:dyDescent="0.3">
      <c r="A19" s="11"/>
      <c r="B19" s="129" t="s">
        <v>278</v>
      </c>
      <c r="C19" s="13"/>
      <c r="D19" s="70" t="str">
        <f>IF('General Settings'!D3="NO","N/A","")</f>
        <v/>
      </c>
      <c r="E19" s="33"/>
      <c r="F19" s="71" t="str">
        <f>IF('General Settings'!D3="NO","N/A","")</f>
        <v/>
      </c>
      <c r="G19" s="13"/>
      <c r="H19" s="22"/>
      <c r="I19" s="54"/>
    </row>
    <row r="20" spans="1:9" x14ac:dyDescent="0.3">
      <c r="A20" s="52"/>
      <c r="B20" s="45" t="s">
        <v>232</v>
      </c>
      <c r="C20" s="32"/>
      <c r="D20" s="21"/>
      <c r="E20" s="13"/>
      <c r="F20" s="142"/>
      <c r="G20" s="53"/>
      <c r="H20" s="22"/>
      <c r="I20" s="54"/>
    </row>
    <row r="21" spans="1:9" x14ac:dyDescent="0.3">
      <c r="A21" s="52"/>
      <c r="B21" s="64" t="s">
        <v>269</v>
      </c>
      <c r="C21" s="32"/>
      <c r="D21" s="73" t="str">
        <f>IF('General Settings'!D3="NO","N/A","")</f>
        <v/>
      </c>
      <c r="E21" s="74"/>
      <c r="F21" s="80" t="str">
        <f>IF('General Settings'!D3="NO","N/A","")</f>
        <v/>
      </c>
      <c r="G21" s="53"/>
      <c r="H21" s="121" t="s">
        <v>277</v>
      </c>
      <c r="I21" s="54"/>
    </row>
    <row r="22" spans="1:9" x14ac:dyDescent="0.3">
      <c r="A22" s="52"/>
      <c r="B22" s="64" t="s">
        <v>267</v>
      </c>
      <c r="C22" s="32"/>
      <c r="D22" s="73" t="str">
        <f>IF('General Settings'!D3="NO","N/A","")</f>
        <v/>
      </c>
      <c r="E22" s="74"/>
      <c r="F22" s="80" t="str">
        <f>IF('General Settings'!D3="NO","N/A","")</f>
        <v/>
      </c>
      <c r="G22" s="53"/>
      <c r="H22" s="121" t="s">
        <v>276</v>
      </c>
      <c r="I22" s="54"/>
    </row>
    <row r="23" spans="1:9" x14ac:dyDescent="0.3">
      <c r="A23" s="52"/>
      <c r="B23" s="64" t="s">
        <v>265</v>
      </c>
      <c r="C23" s="32"/>
      <c r="D23" s="73" t="str">
        <f>IF('General Settings'!D3="NO","N/A","")</f>
        <v/>
      </c>
      <c r="E23" s="74"/>
      <c r="F23" s="80" t="str">
        <f>IF('General Settings'!D3="NO","N/A","")</f>
        <v/>
      </c>
      <c r="G23" s="53"/>
      <c r="H23" s="121" t="s">
        <v>275</v>
      </c>
      <c r="I23" s="54"/>
    </row>
    <row r="24" spans="1:9" x14ac:dyDescent="0.3">
      <c r="A24" s="52"/>
      <c r="B24" s="45" t="s">
        <v>274</v>
      </c>
      <c r="C24" s="32"/>
      <c r="D24" s="21"/>
      <c r="E24" s="13"/>
      <c r="F24" s="142"/>
      <c r="G24" s="53"/>
      <c r="H24" s="22"/>
      <c r="I24" s="54"/>
    </row>
    <row r="25" spans="1:9" x14ac:dyDescent="0.3">
      <c r="A25" s="52"/>
      <c r="B25" s="64" t="s">
        <v>269</v>
      </c>
      <c r="C25" s="32"/>
      <c r="D25" s="73" t="str">
        <f>IF('General Settings'!D3="NO","N/A","")</f>
        <v/>
      </c>
      <c r="E25" s="74"/>
      <c r="F25" s="80" t="str">
        <f>IF('General Settings'!D3="NO","N/A","")</f>
        <v/>
      </c>
      <c r="G25" s="53"/>
      <c r="H25" s="121" t="s">
        <v>273</v>
      </c>
      <c r="I25" s="54"/>
    </row>
    <row r="26" spans="1:9" x14ac:dyDescent="0.3">
      <c r="A26" s="52"/>
      <c r="B26" s="64" t="s">
        <v>267</v>
      </c>
      <c r="C26" s="32"/>
      <c r="D26" s="73" t="str">
        <f>IF('General Settings'!D3="NO","N/A","")</f>
        <v/>
      </c>
      <c r="E26" s="74"/>
      <c r="F26" s="80" t="str">
        <f>IF('General Settings'!D3="NO","N/A","")</f>
        <v/>
      </c>
      <c r="G26" s="53"/>
      <c r="H26" s="121" t="s">
        <v>272</v>
      </c>
      <c r="I26" s="54"/>
    </row>
    <row r="27" spans="1:9" x14ac:dyDescent="0.3">
      <c r="A27" s="52"/>
      <c r="B27" s="64" t="s">
        <v>265</v>
      </c>
      <c r="C27" s="32"/>
      <c r="D27" s="73" t="str">
        <f>IF('General Settings'!D3="NO","N/A","")</f>
        <v/>
      </c>
      <c r="E27" s="74"/>
      <c r="F27" s="80" t="str">
        <f>IF('General Settings'!D3="NO","N/A","")</f>
        <v/>
      </c>
      <c r="G27" s="53"/>
      <c r="H27" s="121" t="s">
        <v>271</v>
      </c>
      <c r="I27" s="54"/>
    </row>
    <row r="28" spans="1:9" x14ac:dyDescent="0.3">
      <c r="A28" s="52"/>
      <c r="B28" s="45" t="s">
        <v>270</v>
      </c>
      <c r="C28" s="13"/>
      <c r="D28" s="21"/>
      <c r="E28" s="13"/>
      <c r="F28" s="142"/>
      <c r="G28" s="53"/>
      <c r="H28" s="22"/>
      <c r="I28" s="54"/>
    </row>
    <row r="29" spans="1:9" x14ac:dyDescent="0.3">
      <c r="A29" s="52"/>
      <c r="B29" s="64" t="s">
        <v>269</v>
      </c>
      <c r="C29" s="32"/>
      <c r="D29" s="73" t="str">
        <f>IF('General Settings'!D3="NO","N/A","")</f>
        <v/>
      </c>
      <c r="E29" s="74"/>
      <c r="F29" s="80" t="str">
        <f>IF('General Settings'!D3="NO","N/A","")</f>
        <v/>
      </c>
      <c r="G29" s="53"/>
      <c r="H29" s="121" t="s">
        <v>268</v>
      </c>
      <c r="I29" s="54"/>
    </row>
    <row r="30" spans="1:9" x14ac:dyDescent="0.3">
      <c r="A30" s="52"/>
      <c r="B30" s="64" t="s">
        <v>267</v>
      </c>
      <c r="C30" s="32"/>
      <c r="D30" s="73" t="str">
        <f>IF('General Settings'!D3="NO","N/A","")</f>
        <v/>
      </c>
      <c r="E30" s="74"/>
      <c r="F30" s="80" t="str">
        <f>IF('General Settings'!D3="NO","N/A","")</f>
        <v/>
      </c>
      <c r="G30" s="53"/>
      <c r="H30" s="121" t="s">
        <v>266</v>
      </c>
      <c r="I30" s="54"/>
    </row>
    <row r="31" spans="1:9" x14ac:dyDescent="0.3">
      <c r="A31" s="52"/>
      <c r="B31" s="78" t="s">
        <v>265</v>
      </c>
      <c r="C31" s="32"/>
      <c r="D31" s="73" t="str">
        <f>IF('General Settings'!D3="NO","N/A","")</f>
        <v/>
      </c>
      <c r="E31" s="74"/>
      <c r="F31" s="80" t="str">
        <f>IF('General Settings'!D3="NO","N/A","")</f>
        <v/>
      </c>
      <c r="G31" s="53"/>
      <c r="H31" s="121" t="s">
        <v>264</v>
      </c>
      <c r="I31" s="54"/>
    </row>
    <row r="32" spans="1:9" x14ac:dyDescent="0.3">
      <c r="A32" s="16"/>
      <c r="B32" s="17"/>
      <c r="C32" s="17"/>
      <c r="D32" s="18"/>
      <c r="E32" s="17"/>
      <c r="F32" s="17"/>
      <c r="G32" s="17"/>
      <c r="H32" s="44"/>
      <c r="I32" s="60"/>
    </row>
    <row r="33" spans="5:5" x14ac:dyDescent="0.3">
      <c r="E33" s="12"/>
    </row>
    <row r="34" spans="5:5" x14ac:dyDescent="0.3">
      <c r="E34" s="12"/>
    </row>
    <row r="35" spans="5:5" x14ac:dyDescent="0.3">
      <c r="E35" s="12"/>
    </row>
    <row r="36" spans="5:5" x14ac:dyDescent="0.3">
      <c r="E36" s="12"/>
    </row>
    <row r="37" spans="5:5" x14ac:dyDescent="0.3">
      <c r="E37" s="12"/>
    </row>
    <row r="38" spans="5:5" x14ac:dyDescent="0.3">
      <c r="E38" s="12"/>
    </row>
    <row r="39" spans="5:5" x14ac:dyDescent="0.3">
      <c r="E39" s="12"/>
    </row>
    <row r="40" spans="5:5" x14ac:dyDescent="0.3">
      <c r="E40" s="12"/>
    </row>
    <row r="41" spans="5:5" x14ac:dyDescent="0.3">
      <c r="E41" s="12"/>
    </row>
    <row r="42" spans="5:5" x14ac:dyDescent="0.3">
      <c r="E42" s="12"/>
    </row>
    <row r="43" spans="5:5" x14ac:dyDescent="0.3">
      <c r="E43" s="12"/>
    </row>
    <row r="44" spans="5:5" x14ac:dyDescent="0.3">
      <c r="E44" s="12"/>
    </row>
    <row r="45" spans="5:5" x14ac:dyDescent="0.3">
      <c r="E45" s="12"/>
    </row>
    <row r="46" spans="5:5" x14ac:dyDescent="0.3">
      <c r="E46" s="12"/>
    </row>
    <row r="47" spans="5:5" x14ac:dyDescent="0.3">
      <c r="E47" s="12"/>
    </row>
    <row r="48" spans="5:5" x14ac:dyDescent="0.3">
      <c r="E48" s="12"/>
    </row>
    <row r="49" spans="5:5" x14ac:dyDescent="0.3">
      <c r="E49" s="12"/>
    </row>
    <row r="50" spans="5:5" x14ac:dyDescent="0.3">
      <c r="E50" s="12"/>
    </row>
    <row r="51" spans="5:5" x14ac:dyDescent="0.3">
      <c r="E51" s="12"/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1"/>
  <dimension ref="A1:O72"/>
  <sheetViews>
    <sheetView topLeftCell="B1" workbookViewId="0">
      <selection activeCell="B2" sqref="B2"/>
    </sheetView>
  </sheetViews>
  <sheetFormatPr defaultRowHeight="14.4" x14ac:dyDescent="0.3"/>
  <cols>
    <col min="1" max="1" width="12.5546875" bestFit="1" customWidth="1"/>
    <col min="2" max="2" width="20.21875" bestFit="1" customWidth="1"/>
    <col min="3" max="3" width="43.77734375" bestFit="1" customWidth="1"/>
    <col min="5" max="5" width="12.5546875" bestFit="1" customWidth="1"/>
    <col min="6" max="6" width="28.21875" bestFit="1" customWidth="1"/>
    <col min="7" max="7" width="55" bestFit="1" customWidth="1"/>
    <col min="9" max="9" width="12.5546875" bestFit="1" customWidth="1"/>
    <col min="10" max="10" width="28.21875" bestFit="1" customWidth="1"/>
    <col min="11" max="11" width="60.6640625" bestFit="1" customWidth="1"/>
    <col min="13" max="13" width="12.5546875" bestFit="1" customWidth="1"/>
    <col min="14" max="14" width="48.77734375" bestFit="1" customWidth="1"/>
    <col min="15" max="15" width="77.6640625" bestFit="1" customWidth="1"/>
  </cols>
  <sheetData>
    <row r="1" spans="1:15" x14ac:dyDescent="0.3">
      <c r="A1" s="23" t="s">
        <v>45</v>
      </c>
      <c r="B1" t="s">
        <v>112</v>
      </c>
      <c r="E1" s="23" t="s">
        <v>45</v>
      </c>
      <c r="F1" t="s">
        <v>98</v>
      </c>
      <c r="I1" s="23" t="s">
        <v>45</v>
      </c>
      <c r="J1" t="s">
        <v>103</v>
      </c>
      <c r="M1" s="23" t="s">
        <v>45</v>
      </c>
      <c r="N1" t="s">
        <v>426</v>
      </c>
    </row>
    <row r="2" spans="1:15" x14ac:dyDescent="0.3">
      <c r="A2" s="24" t="s">
        <v>46</v>
      </c>
      <c r="B2" t="s">
        <v>43</v>
      </c>
      <c r="E2" s="24" t="s">
        <v>46</v>
      </c>
      <c r="F2" t="s">
        <v>43</v>
      </c>
      <c r="I2" s="24" t="s">
        <v>46</v>
      </c>
      <c r="J2" t="s">
        <v>43</v>
      </c>
      <c r="M2" s="24" t="s">
        <v>46</v>
      </c>
      <c r="N2" t="s">
        <v>43</v>
      </c>
    </row>
    <row r="4" spans="1:15" x14ac:dyDescent="0.3">
      <c r="A4" s="25" t="s">
        <v>47</v>
      </c>
      <c r="B4" s="25" t="s">
        <v>48</v>
      </c>
      <c r="C4" s="25" t="s">
        <v>49</v>
      </c>
      <c r="E4" s="25" t="s">
        <v>47</v>
      </c>
      <c r="F4" s="25" t="s">
        <v>48</v>
      </c>
      <c r="G4" s="25" t="s">
        <v>49</v>
      </c>
      <c r="I4" s="25" t="s">
        <v>47</v>
      </c>
      <c r="J4" s="25" t="s">
        <v>48</v>
      </c>
      <c r="K4" s="25" t="s">
        <v>49</v>
      </c>
      <c r="M4" s="25" t="s">
        <v>47</v>
      </c>
      <c r="N4" s="25" t="s">
        <v>48</v>
      </c>
      <c r="O4" s="25" t="s">
        <v>49</v>
      </c>
    </row>
    <row r="5" spans="1:15" x14ac:dyDescent="0.3">
      <c r="A5">
        <v>0</v>
      </c>
      <c r="B5" t="s">
        <v>53</v>
      </c>
      <c r="C5" s="26" t="str">
        <f t="shared" ref="C5:C35" si="0">CONCATENATE($B$1, ".", $B$2, "_", TEXT(A5, "00000"), "_",B5)</f>
        <v>SATEC_P18_Q14_IN_IV.AI_00000_KV_PH_A</v>
      </c>
      <c r="E5">
        <v>0</v>
      </c>
      <c r="F5" s="110" t="s">
        <v>78</v>
      </c>
      <c r="G5" s="26" t="str">
        <f t="shared" ref="G5:G25" si="1">CONCATENATE($F$1, ".", $F$2, "_", TEXT(E5, "00000"), "_",F5)</f>
        <v>Bitronics_P12_Q3_FOWLES_DNP.AI_00000_HEALTH_CHECK   </v>
      </c>
      <c r="I5">
        <v>0</v>
      </c>
      <c r="J5" t="s">
        <v>100</v>
      </c>
      <c r="K5" t="str">
        <f>CONCATENATE($J$1, ".", $J$2, "_", TEXT(I5, "00000"), "_",J5)</f>
        <v>Ion_P12_Q3_FOWLES_DNP.AI_00000_MW</v>
      </c>
      <c r="M5">
        <v>0</v>
      </c>
      <c r="N5" t="s">
        <v>427</v>
      </c>
      <c r="O5" t="str">
        <f>CONCATENATE($N$1, ".", $N$2, "_", TEXT(M5, "00000"), "_",N5)</f>
        <v>DRMCC_RE97_27_DNP.AI_00000_HV_WINDING_TEMP</v>
      </c>
    </row>
    <row r="6" spans="1:15" x14ac:dyDescent="0.3">
      <c r="A6">
        <v>1</v>
      </c>
      <c r="B6" t="s">
        <v>54</v>
      </c>
      <c r="C6" s="26" t="str">
        <f t="shared" si="0"/>
        <v>SATEC_P18_Q14_IN_IV.AI_00001_KV_PH_B</v>
      </c>
      <c r="E6">
        <v>1</v>
      </c>
      <c r="F6" s="110" t="s">
        <v>79</v>
      </c>
      <c r="G6" s="26" t="str">
        <f t="shared" si="1"/>
        <v>Bitronics_P12_Q3_FOWLES_DNP.AI_00001_AMPS_PH_A      </v>
      </c>
      <c r="I6">
        <v>1</v>
      </c>
      <c r="J6" t="s">
        <v>101</v>
      </c>
      <c r="K6" t="str">
        <f t="shared" ref="K6:K15" si="2">CONCATENATE($J$1, ".", $J$2, "_", TEXT(I6, "00000"), "_",J6)</f>
        <v>Ion_P12_Q3_FOWLES_DNP.AI_00001_MVAR</v>
      </c>
      <c r="M6">
        <v>1</v>
      </c>
      <c r="N6" t="s">
        <v>428</v>
      </c>
      <c r="O6" t="str">
        <f t="shared" ref="O6:O69" si="3">CONCATENATE($N$1, ".", $N$2, "_", TEXT(M6, "00000"), "_",N6)</f>
        <v>DRMCC_RE97_27_DNP.AI_00001_XV_WINDING_TEMP</v>
      </c>
    </row>
    <row r="7" spans="1:15" x14ac:dyDescent="0.3">
      <c r="A7">
        <v>2</v>
      </c>
      <c r="B7" t="s">
        <v>55</v>
      </c>
      <c r="C7" s="26" t="str">
        <f t="shared" si="0"/>
        <v>SATEC_P18_Q14_IN_IV.AI_00002_KV_PH_C</v>
      </c>
      <c r="E7">
        <v>2</v>
      </c>
      <c r="F7" s="110" t="s">
        <v>80</v>
      </c>
      <c r="G7" s="26" t="str">
        <f t="shared" si="1"/>
        <v>Bitronics_P12_Q3_FOWLES_DNP.AI_00002_AMPS_PH_B      </v>
      </c>
      <c r="I7">
        <v>2</v>
      </c>
      <c r="J7" t="s">
        <v>104</v>
      </c>
      <c r="K7" t="str">
        <f t="shared" si="2"/>
        <v>Ion_P12_Q3_FOWLES_DNP.AI_00002_Pr_Phase_A_Line_to_Neutral_kV</v>
      </c>
      <c r="M7">
        <v>2</v>
      </c>
      <c r="N7" t="s">
        <v>429</v>
      </c>
      <c r="O7" t="str">
        <f t="shared" si="3"/>
        <v>DRMCC_RE97_27_DNP.AI_00002_XV_LOAD_CURRENT</v>
      </c>
    </row>
    <row r="8" spans="1:15" x14ac:dyDescent="0.3">
      <c r="A8">
        <v>3</v>
      </c>
      <c r="B8" t="s">
        <v>56</v>
      </c>
      <c r="C8" s="26" t="str">
        <f t="shared" si="0"/>
        <v>SATEC_P18_Q14_IN_IV.AI_00003_AMPS_PH_A</v>
      </c>
      <c r="E8">
        <v>3</v>
      </c>
      <c r="F8" s="110" t="s">
        <v>81</v>
      </c>
      <c r="G8" s="26" t="str">
        <f t="shared" si="1"/>
        <v>Bitronics_P12_Q3_FOWLES_DNP.AI_00003_AMPS_PH_C      </v>
      </c>
      <c r="I8">
        <v>3</v>
      </c>
      <c r="J8" t="s">
        <v>105</v>
      </c>
      <c r="K8" t="str">
        <f t="shared" si="2"/>
        <v>Ion_P12_Q3_FOWLES_DNP.AI_00003_Pr_Phase_A_Amps</v>
      </c>
      <c r="M8">
        <v>3</v>
      </c>
      <c r="N8" t="s">
        <v>430</v>
      </c>
      <c r="O8" t="str">
        <f t="shared" si="3"/>
        <v>DRMCC_RE97_27_DNP.AI_00003_GROUP_A_FAN_AMPS</v>
      </c>
    </row>
    <row r="9" spans="1:15" x14ac:dyDescent="0.3">
      <c r="A9">
        <v>4</v>
      </c>
      <c r="B9" t="s">
        <v>57</v>
      </c>
      <c r="C9" s="26" t="str">
        <f t="shared" si="0"/>
        <v>SATEC_P18_Q14_IN_IV.AI_00004_AMPS_PH_B</v>
      </c>
      <c r="E9">
        <v>4</v>
      </c>
      <c r="F9" s="110" t="s">
        <v>82</v>
      </c>
      <c r="G9" s="26" t="str">
        <f t="shared" si="1"/>
        <v>Bitronics_P12_Q3_FOWLES_DNP.AI_00004_VOLTS_PH_A     </v>
      </c>
      <c r="I9">
        <v>4</v>
      </c>
      <c r="J9" t="s">
        <v>106</v>
      </c>
      <c r="K9" t="str">
        <f t="shared" si="2"/>
        <v>Ion_P12_Q3_FOWLES_DNP.AI_00004_Pr_Phase_B_Line_to_Neutral_kV</v>
      </c>
      <c r="M9">
        <v>4</v>
      </c>
      <c r="N9" t="s">
        <v>431</v>
      </c>
      <c r="O9" t="str">
        <f t="shared" si="3"/>
        <v>DRMCC_RE97_27_DNP.AI_00004_GROUP_B_FAN_AMPS</v>
      </c>
    </row>
    <row r="10" spans="1:15" x14ac:dyDescent="0.3">
      <c r="A10">
        <v>5</v>
      </c>
      <c r="B10" t="s">
        <v>58</v>
      </c>
      <c r="C10" s="26" t="str">
        <f t="shared" si="0"/>
        <v>SATEC_P18_Q14_IN_IV.AI_00005_AMPS_PH_C</v>
      </c>
      <c r="E10">
        <v>5</v>
      </c>
      <c r="F10" s="110" t="s">
        <v>83</v>
      </c>
      <c r="G10" s="26" t="str">
        <f t="shared" si="1"/>
        <v>Bitronics_P12_Q3_FOWLES_DNP.AI_00005_VOLTS_PH_B     </v>
      </c>
      <c r="I10">
        <v>5</v>
      </c>
      <c r="J10" t="s">
        <v>110</v>
      </c>
      <c r="K10" t="str">
        <f t="shared" si="2"/>
        <v>Ion_P12_Q3_FOWLES_DNP.AI_00005_Pr_Phase_B_Amps</v>
      </c>
      <c r="M10">
        <v>5</v>
      </c>
      <c r="N10" t="s">
        <v>432</v>
      </c>
      <c r="O10" t="str">
        <f t="shared" si="3"/>
        <v>DRMCC_RE97_27_DNP.AI_00005_AMBIENT_TEMPERATURE</v>
      </c>
    </row>
    <row r="11" spans="1:15" x14ac:dyDescent="0.3">
      <c r="A11">
        <v>6</v>
      </c>
      <c r="B11" t="s">
        <v>59</v>
      </c>
      <c r="C11" s="26" t="str">
        <f t="shared" si="0"/>
        <v>SATEC_P18_Q14_IN_IV.AI_00006_KW_PH_A</v>
      </c>
      <c r="E11">
        <v>6</v>
      </c>
      <c r="F11" s="110" t="s">
        <v>84</v>
      </c>
      <c r="G11" s="26" t="str">
        <f t="shared" si="1"/>
        <v>Bitronics_P12_Q3_FOWLES_DNP.AI_00006_VOLTS_PH_C     </v>
      </c>
      <c r="I11">
        <v>6</v>
      </c>
      <c r="J11" t="s">
        <v>107</v>
      </c>
      <c r="K11" t="str">
        <f t="shared" si="2"/>
        <v>Ion_P12_Q3_FOWLES_DNP.AI_00006_Pr_Phase_C_Line_to_Neutral_kV</v>
      </c>
      <c r="M11">
        <v>6</v>
      </c>
      <c r="N11" t="s">
        <v>433</v>
      </c>
      <c r="O11" t="str">
        <f t="shared" si="3"/>
        <v>DRMCC_RE97_27_DNP.AI_00006_TOP_OIL_TEMPERATURE</v>
      </c>
    </row>
    <row r="12" spans="1:15" x14ac:dyDescent="0.3">
      <c r="A12">
        <v>7</v>
      </c>
      <c r="B12" t="s">
        <v>60</v>
      </c>
      <c r="C12" s="26" t="str">
        <f t="shared" si="0"/>
        <v>SATEC_P18_Q14_IN_IV.AI_00007_KW_PH_B</v>
      </c>
      <c r="E12">
        <v>7</v>
      </c>
      <c r="F12" s="110" t="s">
        <v>85</v>
      </c>
      <c r="G12" s="26" t="str">
        <f t="shared" si="1"/>
        <v>Bitronics_P12_Q3_FOWLES_DNP.AI_00007_3PH_MW </v>
      </c>
      <c r="I12">
        <v>7</v>
      </c>
      <c r="J12" t="s">
        <v>111</v>
      </c>
      <c r="K12" t="str">
        <f t="shared" si="2"/>
        <v>Ion_P12_Q3_FOWLES_DNP.AI_00007_Pr_Phase_C_Amps</v>
      </c>
      <c r="M12">
        <v>7</v>
      </c>
      <c r="N12" t="s">
        <v>434</v>
      </c>
      <c r="O12" t="str">
        <f t="shared" si="3"/>
        <v>DRMCC_RE97_27_DNP.AI_00007_INCON_TAP_POSITION_SENSOR</v>
      </c>
    </row>
    <row r="13" spans="1:15" x14ac:dyDescent="0.3">
      <c r="A13">
        <v>8</v>
      </c>
      <c r="B13" t="s">
        <v>61</v>
      </c>
      <c r="C13" s="26" t="str">
        <f t="shared" si="0"/>
        <v>SATEC_P18_Q14_IN_IV.AI_00008_KW_PH_C</v>
      </c>
      <c r="E13">
        <v>8</v>
      </c>
      <c r="F13" s="110" t="s">
        <v>86</v>
      </c>
      <c r="G13" s="26" t="str">
        <f t="shared" si="1"/>
        <v>Bitronics_P12_Q3_FOWLES_DNP.AI_00008_3PH_MX </v>
      </c>
      <c r="I13">
        <v>8</v>
      </c>
      <c r="J13" t="s">
        <v>102</v>
      </c>
      <c r="K13" t="str">
        <f t="shared" si="2"/>
        <v>Ion_P12_Q3_FOWLES_DNP.AI_00008_Frequency_Hertz_10</v>
      </c>
      <c r="M13">
        <v>8</v>
      </c>
      <c r="N13" t="s">
        <v>435</v>
      </c>
      <c r="O13" t="str">
        <f t="shared" si="3"/>
        <v>DRMCC_RE97_27_DNP.AI_00008_HV_LOAD_CURRENT</v>
      </c>
    </row>
    <row r="14" spans="1:15" x14ac:dyDescent="0.3">
      <c r="A14">
        <v>9</v>
      </c>
      <c r="B14" t="s">
        <v>62</v>
      </c>
      <c r="C14" s="26" t="str">
        <f t="shared" si="0"/>
        <v>SATEC_P18_Q14_IN_IV.AI_00009_KVAR_PH_A</v>
      </c>
      <c r="E14">
        <v>9</v>
      </c>
      <c r="F14" s="110" t="s">
        <v>87</v>
      </c>
      <c r="G14" s="26" t="str">
        <f t="shared" si="1"/>
        <v>Bitronics_P12_Q3_FOWLES_DNP.AI_00009_WATTS_PH_A     </v>
      </c>
      <c r="I14">
        <v>9</v>
      </c>
      <c r="J14" t="s">
        <v>108</v>
      </c>
      <c r="K14" t="str">
        <f t="shared" si="2"/>
        <v>Ion_P12_Q3_FOWLES_DNP.AI_00009_Average_Pr_Line_to_Line_kV</v>
      </c>
      <c r="M14">
        <v>9</v>
      </c>
      <c r="N14" t="s">
        <v>436</v>
      </c>
      <c r="O14" t="str">
        <f t="shared" si="3"/>
        <v>DRMCC_RE97_27_DNP.AI_00009_LTC_OIL_TEMPERATURE</v>
      </c>
    </row>
    <row r="15" spans="1:15" x14ac:dyDescent="0.3">
      <c r="A15">
        <v>10</v>
      </c>
      <c r="B15" t="s">
        <v>73</v>
      </c>
      <c r="C15" s="26" t="str">
        <f t="shared" si="0"/>
        <v>SATEC_P18_Q14_IN_IV.AI_00010_KVAR_PH_B</v>
      </c>
      <c r="E15">
        <v>10</v>
      </c>
      <c r="F15" s="110" t="s">
        <v>88</v>
      </c>
      <c r="G15" s="26" t="str">
        <f t="shared" si="1"/>
        <v>Bitronics_P12_Q3_FOWLES_DNP.AI_00010_WATTS_PH_B     </v>
      </c>
      <c r="I15">
        <v>10</v>
      </c>
      <c r="J15" t="s">
        <v>109</v>
      </c>
      <c r="K15" t="str">
        <f t="shared" si="2"/>
        <v>Ion_P12_Q3_FOWLES_DNP.AI_00010_Average_Pr_Current</v>
      </c>
      <c r="M15">
        <v>10</v>
      </c>
      <c r="N15" t="s">
        <v>437</v>
      </c>
      <c r="O15" t="str">
        <f t="shared" si="3"/>
        <v>DRMCC_RE97_27_DNP.AI_00010_BOTTOM_OIL_TEMP</v>
      </c>
    </row>
    <row r="16" spans="1:15" x14ac:dyDescent="0.3">
      <c r="A16">
        <v>11</v>
      </c>
      <c r="B16" t="s">
        <v>74</v>
      </c>
      <c r="C16" s="26" t="str">
        <f t="shared" si="0"/>
        <v>SATEC_P18_Q14_IN_IV.AI_00011_KVAR_PH_C</v>
      </c>
      <c r="E16">
        <v>11</v>
      </c>
      <c r="F16" s="110" t="s">
        <v>89</v>
      </c>
      <c r="G16" s="26" t="str">
        <f t="shared" si="1"/>
        <v>Bitronics_P12_Q3_FOWLES_DNP.AI_00011_WATTS_PH_C     </v>
      </c>
      <c r="M16">
        <v>11</v>
      </c>
      <c r="N16" t="s">
        <v>438</v>
      </c>
      <c r="O16" t="str">
        <f t="shared" si="3"/>
        <v>DRMCC_RE97_27_DNP.AI_00011_MAIN_TANK_TEMP</v>
      </c>
    </row>
    <row r="17" spans="1:15" x14ac:dyDescent="0.3">
      <c r="A17">
        <v>12</v>
      </c>
      <c r="B17" t="s">
        <v>75</v>
      </c>
      <c r="C17" s="26" t="str">
        <f t="shared" si="0"/>
        <v>SATEC_P18_Q14_IN_IV.AI_00012_KVA_PH_A</v>
      </c>
      <c r="E17">
        <v>12</v>
      </c>
      <c r="F17" s="110" t="s">
        <v>90</v>
      </c>
      <c r="G17" s="26" t="str">
        <f t="shared" si="1"/>
        <v>Bitronics_P12_Q3_FOWLES_DNP.AI_00012_VARS_PH_A      </v>
      </c>
      <c r="I17" s="25" t="s">
        <v>47</v>
      </c>
      <c r="J17" s="25" t="s">
        <v>48</v>
      </c>
      <c r="K17" s="25" t="s">
        <v>49</v>
      </c>
      <c r="M17">
        <v>12</v>
      </c>
      <c r="N17" t="s">
        <v>439</v>
      </c>
      <c r="O17" t="str">
        <f t="shared" si="3"/>
        <v>DRMCC_RE97_27_DNP.AI_00012_LTC_DIFF_TEMPERATURE</v>
      </c>
    </row>
    <row r="18" spans="1:15" x14ac:dyDescent="0.3">
      <c r="A18">
        <v>13</v>
      </c>
      <c r="B18" t="s">
        <v>76</v>
      </c>
      <c r="C18" s="26" t="str">
        <f t="shared" si="0"/>
        <v>SATEC_P18_Q14_IN_IV.AI_00013_KVA_PH_B</v>
      </c>
      <c r="E18">
        <v>13</v>
      </c>
      <c r="F18" s="110" t="s">
        <v>91</v>
      </c>
      <c r="G18" s="26" t="str">
        <f t="shared" si="1"/>
        <v>Bitronics_P12_Q3_FOWLES_DNP.AI_00013_VARS_PH_B      </v>
      </c>
      <c r="I18">
        <v>0</v>
      </c>
      <c r="J18" t="s">
        <v>440</v>
      </c>
      <c r="K18" t="str">
        <f>CONCATENATE($J$1, ".", $J$2, "_", TEXT(I18, "00000"), "_",J18)</f>
        <v>Ion_P12_Q3_FOWLES_DNP.AI_00000_AI_00000_I_a</v>
      </c>
      <c r="M18">
        <v>13</v>
      </c>
      <c r="N18" t="s">
        <v>441</v>
      </c>
      <c r="O18" t="str">
        <f t="shared" si="3"/>
        <v>DRMCC_RE97_27_DNP.AI_00013_TAP_POSITION</v>
      </c>
    </row>
    <row r="19" spans="1:15" x14ac:dyDescent="0.3">
      <c r="A19">
        <v>14</v>
      </c>
      <c r="B19" t="s">
        <v>64</v>
      </c>
      <c r="C19" s="26" t="str">
        <f t="shared" si="0"/>
        <v>SATEC_P18_Q14_IN_IV.AI_00014_KVA_PH_C</v>
      </c>
      <c r="E19">
        <v>14</v>
      </c>
      <c r="F19" s="110" t="s">
        <v>92</v>
      </c>
      <c r="G19" s="26" t="str">
        <f t="shared" si="1"/>
        <v>Bitronics_P12_Q3_FOWLES_DNP.AI_00014_VARS_PH_C      </v>
      </c>
      <c r="I19">
        <v>1</v>
      </c>
      <c r="J19" t="s">
        <v>442</v>
      </c>
      <c r="K19" t="str">
        <f t="shared" ref="K19:K31" si="4">CONCATENATE($J$1, ".", $J$2, "_", TEXT(I19, "00000"), "_",J19)</f>
        <v>Ion_P12_Q3_FOWLES_DNP.AI_00001_AI_00001_I_b</v>
      </c>
      <c r="M19">
        <v>14</v>
      </c>
      <c r="N19" t="s">
        <v>443</v>
      </c>
      <c r="O19" t="str">
        <f t="shared" si="3"/>
        <v>DRMCC_RE97_27_DNP.AI_00014_LAST_SAVE_H2_CONCENTRATION</v>
      </c>
    </row>
    <row r="20" spans="1:15" x14ac:dyDescent="0.3">
      <c r="A20">
        <v>15</v>
      </c>
      <c r="B20" t="s">
        <v>65</v>
      </c>
      <c r="C20" s="26" t="str">
        <f t="shared" si="0"/>
        <v>SATEC_P18_Q14_IN_IV.AI_00015_PF_PH_A</v>
      </c>
      <c r="E20">
        <v>15</v>
      </c>
      <c r="F20" s="110" t="s">
        <v>93</v>
      </c>
      <c r="G20" s="26" t="str">
        <f t="shared" si="1"/>
        <v>Bitronics_P12_Q3_FOWLES_DNP.AI_00015_CT_VALUE       </v>
      </c>
      <c r="I20">
        <v>2</v>
      </c>
      <c r="J20" t="s">
        <v>444</v>
      </c>
      <c r="K20" t="str">
        <f t="shared" si="4"/>
        <v>Ion_P12_Q3_FOWLES_DNP.AI_00002_AI_00002_I_c</v>
      </c>
      <c r="M20">
        <v>15</v>
      </c>
      <c r="N20" t="s">
        <v>445</v>
      </c>
      <c r="O20" t="str">
        <f t="shared" si="3"/>
        <v>DRMCC_RE97_27_DNP.AI_00015_ACTUAL_CONTINUOUS_HYDROGEN_READING</v>
      </c>
    </row>
    <row r="21" spans="1:15" x14ac:dyDescent="0.3">
      <c r="A21">
        <v>16</v>
      </c>
      <c r="B21" t="s">
        <v>66</v>
      </c>
      <c r="C21" s="26" t="str">
        <f t="shared" si="0"/>
        <v>SATEC_P18_Q14_IN_IV.AI_00016_PF_PH_B</v>
      </c>
      <c r="E21">
        <v>16</v>
      </c>
      <c r="F21" s="110" t="s">
        <v>94</v>
      </c>
      <c r="G21" s="26" t="str">
        <f t="shared" si="1"/>
        <v>Bitronics_P12_Q3_FOWLES_DNP.AI_00016_CT_DIVISOR     </v>
      </c>
      <c r="I21">
        <v>3</v>
      </c>
      <c r="J21" t="s">
        <v>446</v>
      </c>
      <c r="K21" t="str">
        <f t="shared" si="4"/>
        <v>Ion_P12_Q3_FOWLES_DNP.AI_00003_AI_00003_I_avg</v>
      </c>
      <c r="M21">
        <v>16</v>
      </c>
      <c r="N21" t="s">
        <v>447</v>
      </c>
      <c r="O21" t="str">
        <f t="shared" si="3"/>
        <v>DRMCC_RE97_27_DNP.AI_00016_ACTUAL_CALCULATED_WATER_SATURATION</v>
      </c>
    </row>
    <row r="22" spans="1:15" x14ac:dyDescent="0.3">
      <c r="A22">
        <v>17</v>
      </c>
      <c r="B22" t="s">
        <v>67</v>
      </c>
      <c r="C22" s="26" t="str">
        <f t="shared" si="0"/>
        <v>SATEC_P18_Q14_IN_IV.AI_00017_PF_PH_C</v>
      </c>
      <c r="E22">
        <v>17</v>
      </c>
      <c r="F22" s="110" t="s">
        <v>95</v>
      </c>
      <c r="G22" s="26" t="str">
        <f t="shared" si="1"/>
        <v>Bitronics_P12_Q3_FOWLES_DNP.AI_00017_PT_VALUE       </v>
      </c>
      <c r="I22">
        <v>4</v>
      </c>
      <c r="J22" t="s">
        <v>448</v>
      </c>
      <c r="K22" t="str">
        <f t="shared" si="4"/>
        <v>Ion_P12_Q3_FOWLES_DNP.AI_00004_AI_00004_kV_a</v>
      </c>
      <c r="M22">
        <v>17</v>
      </c>
      <c r="N22" t="s">
        <v>449</v>
      </c>
      <c r="O22" t="str">
        <f t="shared" si="3"/>
        <v>DRMCC_RE97_27_DNP.AI_00017_ACTUAL_CALCULATED_WATER_CONCENTRATION_PPM</v>
      </c>
    </row>
    <row r="23" spans="1:15" x14ac:dyDescent="0.3">
      <c r="A23">
        <v>18</v>
      </c>
      <c r="B23" t="s">
        <v>68</v>
      </c>
      <c r="C23" s="26" t="str">
        <f t="shared" si="0"/>
        <v>SATEC_P18_Q14_IN_IV.AI_00018_TOTAL_PF</v>
      </c>
      <c r="E23">
        <v>18</v>
      </c>
      <c r="F23" s="110" t="s">
        <v>96</v>
      </c>
      <c r="G23" s="26" t="str">
        <f t="shared" si="1"/>
        <v>Bitronics_P12_Q3_FOWLES_DNP.AI_00018_PT_DIVISOR     </v>
      </c>
      <c r="I23">
        <v>5</v>
      </c>
      <c r="J23" t="s">
        <v>450</v>
      </c>
      <c r="K23" t="str">
        <f t="shared" si="4"/>
        <v>Ion_P12_Q3_FOWLES_DNP.AI_00005_AI_00005_kV_b</v>
      </c>
      <c r="M23">
        <v>18</v>
      </c>
      <c r="N23" t="s">
        <v>451</v>
      </c>
      <c r="O23" t="str">
        <f t="shared" si="3"/>
        <v>DRMCC_RE97_27_DNP.AI_00018_ACTUAL_CALCULATE_WATER_SATURATION_IN_XFMR</v>
      </c>
    </row>
    <row r="24" spans="1:15" x14ac:dyDescent="0.3">
      <c r="A24">
        <v>19</v>
      </c>
      <c r="B24" t="s">
        <v>69</v>
      </c>
      <c r="C24" s="26" t="str">
        <f t="shared" si="0"/>
        <v>SATEC_P18_Q14_IN_IV.AI_00019_TOTALKW</v>
      </c>
      <c r="E24">
        <v>19</v>
      </c>
      <c r="F24" s="110" t="s">
        <v>97</v>
      </c>
      <c r="G24" s="26" t="str">
        <f t="shared" si="1"/>
        <v>Bitronics_P12_Q3_FOWLES_DNP.AI_00019_NEUTRAL_CURRENT</v>
      </c>
      <c r="I24">
        <v>6</v>
      </c>
      <c r="J24" t="s">
        <v>452</v>
      </c>
      <c r="K24" t="str">
        <f t="shared" si="4"/>
        <v>Ion_P12_Q3_FOWLES_DNP.AI_00006_AI_00006_kV_C</v>
      </c>
      <c r="M24">
        <v>19</v>
      </c>
      <c r="N24" t="s">
        <v>453</v>
      </c>
      <c r="O24" t="str">
        <f>CONCATENATE($N$1, ".", $N$2, "_", TEXT(M24, "00000"), "_",N24)</f>
        <v>DRMCC_RE97_27_DNP.AI_00019_XFMR_OIL_TEMPERATURE</v>
      </c>
    </row>
    <row r="25" spans="1:15" x14ac:dyDescent="0.3">
      <c r="A25">
        <v>20</v>
      </c>
      <c r="B25" t="s">
        <v>70</v>
      </c>
      <c r="C25" s="26" t="str">
        <f t="shared" si="0"/>
        <v>SATEC_P18_Q14_IN_IV.AI_00020_TOTAL_KVAR</v>
      </c>
      <c r="E25">
        <v>20</v>
      </c>
      <c r="F25" s="110" t="s">
        <v>77</v>
      </c>
      <c r="G25" s="26" t="str">
        <f t="shared" si="1"/>
        <v>Bitronics_P12_Q3_FOWLES_DNP.AI_00020_FREQUENCY      </v>
      </c>
      <c r="I25">
        <v>7</v>
      </c>
      <c r="J25" t="s">
        <v>454</v>
      </c>
      <c r="K25" t="str">
        <f t="shared" si="4"/>
        <v>Ion_P12_Q3_FOWLES_DNP.AI_00007_AI_00007_kV_avg</v>
      </c>
      <c r="M25">
        <v>20</v>
      </c>
      <c r="N25" t="s">
        <v>455</v>
      </c>
      <c r="O25" t="str">
        <f t="shared" si="3"/>
        <v>DRMCC_RE97_27_DNP.AI_00020_LAST_SAVED_CARBON_MONOXIDE_CONCENTRATION</v>
      </c>
    </row>
    <row r="26" spans="1:15" x14ac:dyDescent="0.3">
      <c r="A26">
        <v>21</v>
      </c>
      <c r="B26" t="s">
        <v>71</v>
      </c>
      <c r="C26" s="26" t="str">
        <f t="shared" si="0"/>
        <v>SATEC_P18_Q14_IN_IV.AI_00021_TOTAL_KVA</v>
      </c>
      <c r="G26" s="26"/>
      <c r="I26">
        <v>8</v>
      </c>
      <c r="J26" t="s">
        <v>456</v>
      </c>
      <c r="K26" t="str">
        <f t="shared" si="4"/>
        <v>Ion_P12_Q3_FOWLES_DNP.AI_00008_AI_00008_MW_tot_cor</v>
      </c>
      <c r="M26">
        <v>21</v>
      </c>
      <c r="N26" t="s">
        <v>457</v>
      </c>
      <c r="O26" t="str">
        <f t="shared" si="3"/>
        <v>DRMCC_RE97_27_DNP.AI_00021_HYDROGEN_TREND</v>
      </c>
    </row>
    <row r="27" spans="1:15" x14ac:dyDescent="0.3">
      <c r="A27">
        <v>22</v>
      </c>
      <c r="B27" t="s">
        <v>72</v>
      </c>
      <c r="C27" s="26" t="str">
        <f t="shared" si="0"/>
        <v>SATEC_P18_Q14_IN_IV.AI_00022_NEUT_CURRENT</v>
      </c>
      <c r="G27" s="26"/>
      <c r="I27">
        <v>9</v>
      </c>
      <c r="J27" t="s">
        <v>458</v>
      </c>
      <c r="K27" t="str">
        <f t="shared" si="4"/>
        <v>Ion_P12_Q3_FOWLES_DNP.AI_00009_AI_00009_MX_tot_cor</v>
      </c>
      <c r="M27">
        <v>22</v>
      </c>
      <c r="N27" t="s">
        <v>459</v>
      </c>
      <c r="O27" t="str">
        <f t="shared" si="3"/>
        <v>DRMCC_RE97_27_DNP.AI_00022_CARBON_MONOXIDE_TREND</v>
      </c>
    </row>
    <row r="28" spans="1:15" x14ac:dyDescent="0.3">
      <c r="A28">
        <v>23</v>
      </c>
      <c r="B28" t="s">
        <v>63</v>
      </c>
      <c r="C28" s="26" t="str">
        <f t="shared" si="0"/>
        <v>SATEC_P18_Q14_IN_IV.AI_00023_FREQ</v>
      </c>
      <c r="G28" s="26"/>
      <c r="I28">
        <v>10</v>
      </c>
      <c r="J28" t="s">
        <v>460</v>
      </c>
      <c r="K28" t="str">
        <f t="shared" si="4"/>
        <v>Ion_P12_Q3_FOWLES_DNP.AI_00010_AI_00010_MW_tot_uc</v>
      </c>
      <c r="M28">
        <v>23</v>
      </c>
      <c r="N28" t="s">
        <v>461</v>
      </c>
      <c r="O28" t="str">
        <f t="shared" si="3"/>
        <v>DRMCC_RE97_27_DNP.AI_00023_MOISTURE_IN_OIL_TREND</v>
      </c>
    </row>
    <row r="29" spans="1:15" x14ac:dyDescent="0.3">
      <c r="A29">
        <v>24</v>
      </c>
      <c r="C29" s="26" t="str">
        <f t="shared" si="0"/>
        <v>SATEC_P18_Q14_IN_IV.AI_00024_</v>
      </c>
      <c r="G29" s="26"/>
      <c r="I29">
        <v>11</v>
      </c>
      <c r="J29" t="s">
        <v>462</v>
      </c>
      <c r="K29" t="str">
        <f t="shared" si="4"/>
        <v>Ion_P12_Q3_FOWLES_DNP.AI_00011_AI_00011_MX_tot_uc</v>
      </c>
      <c r="M29">
        <v>24</v>
      </c>
      <c r="N29" t="s">
        <v>429</v>
      </c>
      <c r="O29" t="str">
        <f t="shared" si="3"/>
        <v>DRMCC_RE97_27_DNP.AI_00024_XV_LOAD_CURRENT</v>
      </c>
    </row>
    <row r="30" spans="1:15" x14ac:dyDescent="0.3">
      <c r="A30">
        <v>25</v>
      </c>
      <c r="C30" s="26" t="str">
        <f t="shared" si="0"/>
        <v>SATEC_P18_Q14_IN_IV.AI_00025_</v>
      </c>
      <c r="G30" s="26"/>
      <c r="I30">
        <v>12</v>
      </c>
      <c r="J30" t="s">
        <v>463</v>
      </c>
      <c r="K30" t="str">
        <f t="shared" si="4"/>
        <v>Ion_P12_Q3_FOWLES_DNP.AI_00012_AI_00012_freq</v>
      </c>
      <c r="M30">
        <v>25</v>
      </c>
      <c r="N30" t="s">
        <v>464</v>
      </c>
      <c r="O30" t="str">
        <f t="shared" si="3"/>
        <v>DRMCC_RE97_27_DNP.AI_00025_XV_VOLTAGE</v>
      </c>
    </row>
    <row r="31" spans="1:15" x14ac:dyDescent="0.3">
      <c r="A31">
        <v>26</v>
      </c>
      <c r="C31" s="26" t="str">
        <f t="shared" si="0"/>
        <v>SATEC_P18_Q14_IN_IV.AI_00026_</v>
      </c>
      <c r="G31" s="26"/>
      <c r="I31">
        <v>13</v>
      </c>
      <c r="J31" t="s">
        <v>465</v>
      </c>
      <c r="K31" t="str">
        <f t="shared" si="4"/>
        <v>Ion_P12_Q3_FOWLES_DNP.AI_00013_AI_00013_3VOmag</v>
      </c>
      <c r="M31">
        <v>26</v>
      </c>
      <c r="N31" t="s">
        <v>466</v>
      </c>
      <c r="O31" t="str">
        <f t="shared" si="3"/>
        <v>DRMCC_RE97_27_DNP.AI_00026_MONTH_FROM_DRMCC</v>
      </c>
    </row>
    <row r="32" spans="1:15" x14ac:dyDescent="0.3">
      <c r="A32">
        <v>27</v>
      </c>
      <c r="C32" s="26" t="str">
        <f t="shared" si="0"/>
        <v>SATEC_P18_Q14_IN_IV.AI_00027_</v>
      </c>
      <c r="G32" s="26"/>
      <c r="M32">
        <v>27</v>
      </c>
      <c r="N32" t="s">
        <v>467</v>
      </c>
      <c r="O32" t="str">
        <f t="shared" si="3"/>
        <v>DRMCC_RE97_27_DNP.AI_00027_DAY_FROM_DRMCC</v>
      </c>
    </row>
    <row r="33" spans="1:15" x14ac:dyDescent="0.3">
      <c r="A33">
        <v>28</v>
      </c>
      <c r="C33" s="26" t="str">
        <f t="shared" si="0"/>
        <v>SATEC_P18_Q14_IN_IV.AI_00028_</v>
      </c>
      <c r="G33" s="26"/>
      <c r="M33">
        <v>28</v>
      </c>
      <c r="N33" t="s">
        <v>468</v>
      </c>
      <c r="O33" t="str">
        <f t="shared" si="3"/>
        <v>DRMCC_RE97_27_DNP.AI_00028_YEAR_FROM_DRMCC</v>
      </c>
    </row>
    <row r="34" spans="1:15" x14ac:dyDescent="0.3">
      <c r="A34">
        <v>29</v>
      </c>
      <c r="C34" s="26" t="str">
        <f t="shared" si="0"/>
        <v>SATEC_P18_Q14_IN_IV.AI_00029_</v>
      </c>
      <c r="G34" s="26"/>
      <c r="M34">
        <v>29</v>
      </c>
      <c r="N34" t="s">
        <v>469</v>
      </c>
      <c r="O34" t="str">
        <f t="shared" si="3"/>
        <v>DRMCC_RE97_27_DNP.AI_00029_HOUR_FROM_DRMCC</v>
      </c>
    </row>
    <row r="35" spans="1:15" x14ac:dyDescent="0.3">
      <c r="A35">
        <v>30</v>
      </c>
      <c r="C35" s="26" t="str">
        <f t="shared" si="0"/>
        <v>SATEC_P18_Q14_IN_IV.AI_00030_</v>
      </c>
      <c r="G35" s="26"/>
      <c r="M35">
        <v>30</v>
      </c>
      <c r="N35" t="s">
        <v>470</v>
      </c>
      <c r="O35" t="str">
        <f t="shared" si="3"/>
        <v>DRMCC_RE97_27_DNP.AI_00030_MINUTE_FROM_DRMCC</v>
      </c>
    </row>
    <row r="36" spans="1:15" x14ac:dyDescent="0.3">
      <c r="M36">
        <v>31</v>
      </c>
      <c r="N36" t="s">
        <v>471</v>
      </c>
      <c r="O36" t="str">
        <f t="shared" si="3"/>
        <v>DRMCC_RE97_27_DNP.AI_00031_MONTH_OF_LAST_MEASUREMENT</v>
      </c>
    </row>
    <row r="37" spans="1:15" x14ac:dyDescent="0.3">
      <c r="M37">
        <v>32</v>
      </c>
      <c r="N37" t="s">
        <v>472</v>
      </c>
      <c r="O37" t="str">
        <f t="shared" si="3"/>
        <v>DRMCC_RE97_27_DNP.AI_00032_DAY_OF_LAST_MEASUREMENT</v>
      </c>
    </row>
    <row r="38" spans="1:15" x14ac:dyDescent="0.3">
      <c r="M38">
        <v>33</v>
      </c>
      <c r="N38" t="s">
        <v>473</v>
      </c>
      <c r="O38" t="str">
        <f t="shared" si="3"/>
        <v>DRMCC_RE97_27_DNP.AI_00033_YEAR_OF_LAST_MEASUREMENT</v>
      </c>
    </row>
    <row r="39" spans="1:15" x14ac:dyDescent="0.3">
      <c r="M39">
        <v>34</v>
      </c>
      <c r="N39" t="s">
        <v>474</v>
      </c>
      <c r="O39" t="str">
        <f t="shared" si="3"/>
        <v>DRMCC_RE97_27_DNP.AI_00034_HOUR_OF_LAST_MEASUREMENT</v>
      </c>
    </row>
    <row r="40" spans="1:15" x14ac:dyDescent="0.3">
      <c r="M40">
        <v>35</v>
      </c>
      <c r="N40" t="s">
        <v>475</v>
      </c>
      <c r="O40" t="str">
        <f t="shared" si="3"/>
        <v>DRMCC_RE97_27_DNP.AI_00035_MINUTE_OF_LAST_MEASUREMENT</v>
      </c>
    </row>
    <row r="41" spans="1:15" x14ac:dyDescent="0.3">
      <c r="M41">
        <v>36</v>
      </c>
      <c r="N41" t="s">
        <v>476</v>
      </c>
      <c r="O41" t="str">
        <f t="shared" si="3"/>
        <v>DRMCC_RE97_27_DNP.AI_00036_OIL_TEMP_AT_TIME_OF_MEASUREMENT</v>
      </c>
    </row>
    <row r="42" spans="1:15" x14ac:dyDescent="0.3">
      <c r="M42">
        <v>37</v>
      </c>
      <c r="N42" t="s">
        <v>477</v>
      </c>
      <c r="O42" t="str">
        <f t="shared" si="3"/>
        <v>DRMCC_RE97_27_DNP.AI_00037_DEVICE_MEASURING_ERROR</v>
      </c>
    </row>
    <row r="43" spans="1:15" x14ac:dyDescent="0.3">
      <c r="M43">
        <v>38</v>
      </c>
      <c r="N43" t="s">
        <v>478</v>
      </c>
      <c r="O43" t="str">
        <f t="shared" si="3"/>
        <v>DRMCC_RE97_27_DNP.AI_00038_DEVICE_ALARM_STATUS</v>
      </c>
    </row>
    <row r="44" spans="1:15" x14ac:dyDescent="0.3">
      <c r="M44">
        <v>39</v>
      </c>
      <c r="N44" t="s">
        <v>479</v>
      </c>
      <c r="O44" t="str">
        <f t="shared" si="3"/>
        <v>DRMCC_RE97_27_DNP.AI_00039_SET_1_DIS_EN</v>
      </c>
    </row>
    <row r="45" spans="1:15" x14ac:dyDescent="0.3">
      <c r="M45">
        <v>40</v>
      </c>
      <c r="N45" t="s">
        <v>480</v>
      </c>
      <c r="O45" t="str">
        <f t="shared" si="3"/>
        <v>DRMCC_RE97_27_DNP.AI_00040_SET_2_DIS_EN</v>
      </c>
    </row>
    <row r="46" spans="1:15" x14ac:dyDescent="0.3">
      <c r="M46">
        <v>41</v>
      </c>
      <c r="N46" t="s">
        <v>481</v>
      </c>
      <c r="O46" t="str">
        <f t="shared" si="3"/>
        <v>DRMCC_RE97_27_DNP.AI_00041_SET_1_ALARM_ON_CURRENT_IMBALANCE_MAGNITUDE</v>
      </c>
    </row>
    <row r="47" spans="1:15" x14ac:dyDescent="0.3">
      <c r="M47">
        <v>42</v>
      </c>
      <c r="N47" t="s">
        <v>482</v>
      </c>
      <c r="O47" t="str">
        <f t="shared" si="3"/>
        <v>DRMCC_RE97_27_DNP.AI_00042_SET_2_ALARM_ON_CURRENT_IMBALANCE_MAGNITUDE</v>
      </c>
    </row>
    <row r="48" spans="1:15" x14ac:dyDescent="0.3">
      <c r="M48">
        <v>43</v>
      </c>
      <c r="N48" t="s">
        <v>483</v>
      </c>
      <c r="O48" t="str">
        <f t="shared" si="3"/>
        <v>DRMCC_RE97_27_DNP.AI_00043_SET_1_SUM_CURRENT_IMBALANCE</v>
      </c>
    </row>
    <row r="49" spans="13:15" x14ac:dyDescent="0.3">
      <c r="M49">
        <v>44</v>
      </c>
      <c r="N49" t="s">
        <v>484</v>
      </c>
      <c r="O49" t="str">
        <f t="shared" si="3"/>
        <v>DRMCC_RE97_27_DNP.AI_00044_SET_2_SUM_CURRENT_IMBALANCE</v>
      </c>
    </row>
    <row r="50" spans="13:15" x14ac:dyDescent="0.3">
      <c r="M50">
        <v>45</v>
      </c>
      <c r="N50" t="s">
        <v>485</v>
      </c>
      <c r="O50" t="str">
        <f t="shared" si="3"/>
        <v>DRMCC_RE97_27_DNP.AI_00045_SET_1_VECTOR_IMBALANCE</v>
      </c>
    </row>
    <row r="51" spans="13:15" x14ac:dyDescent="0.3">
      <c r="M51">
        <v>46</v>
      </c>
      <c r="N51" t="s">
        <v>486</v>
      </c>
      <c r="O51" t="str">
        <f t="shared" si="3"/>
        <v>DRMCC_RE97_27_DNP.AI_00046_SET_2_VECTOR_IMBALANCE</v>
      </c>
    </row>
    <row r="52" spans="13:15" x14ac:dyDescent="0.3">
      <c r="M52">
        <v>47</v>
      </c>
      <c r="N52" t="s">
        <v>487</v>
      </c>
      <c r="O52" t="str">
        <f t="shared" si="3"/>
        <v>DRMCC_RE97_27_DNP.AI_00047_SET_1_SUM_CURRENT_TREND</v>
      </c>
    </row>
    <row r="53" spans="13:15" x14ac:dyDescent="0.3">
      <c r="M53">
        <v>48</v>
      </c>
      <c r="N53" t="s">
        <v>488</v>
      </c>
      <c r="O53" t="str">
        <f t="shared" si="3"/>
        <v>DRMCC_RE97_27_DNP.AI_00048_SET_2_SUM_CURRENT_TREND</v>
      </c>
    </row>
    <row r="54" spans="13:15" x14ac:dyDescent="0.3">
      <c r="M54">
        <v>49</v>
      </c>
      <c r="N54" t="s">
        <v>489</v>
      </c>
      <c r="O54" t="str">
        <f t="shared" si="3"/>
        <v>DRMCC_RE97_27_DNP.AI_00049_SET_1_MAGNITUDE_TEMP_DEP</v>
      </c>
    </row>
    <row r="55" spans="13:15" x14ac:dyDescent="0.3">
      <c r="M55">
        <v>50</v>
      </c>
      <c r="N55" t="s">
        <v>490</v>
      </c>
      <c r="O55" t="str">
        <f t="shared" si="3"/>
        <v>DRMCC_RE97_27_DNP.AI_00050_SET_2_MAGNITUDE_TEMP_DEP</v>
      </c>
    </row>
    <row r="56" spans="13:15" x14ac:dyDescent="0.3">
      <c r="M56">
        <v>51</v>
      </c>
      <c r="N56" t="s">
        <v>491</v>
      </c>
      <c r="O56" t="str">
        <f t="shared" si="3"/>
        <v>DRMCC_RE97_27_DNP.AI_00051_SET_1_VECTOR_TEMP_DEP</v>
      </c>
    </row>
    <row r="57" spans="13:15" x14ac:dyDescent="0.3">
      <c r="M57">
        <v>52</v>
      </c>
      <c r="N57" t="s">
        <v>492</v>
      </c>
      <c r="O57" t="str">
        <f t="shared" si="3"/>
        <v>DRMCC_RE97_27_DNP.AI_00052_SET_2_VECTOR_TEMP_DEP</v>
      </c>
    </row>
    <row r="58" spans="13:15" x14ac:dyDescent="0.3">
      <c r="M58">
        <v>53</v>
      </c>
      <c r="N58" t="s">
        <v>493</v>
      </c>
      <c r="O58" t="str">
        <f t="shared" si="3"/>
        <v>DRMCC_RE97_27_DNP.AI_00053_SET_1_BUSH_1_POWER_FACTOR</v>
      </c>
    </row>
    <row r="59" spans="13:15" x14ac:dyDescent="0.3">
      <c r="M59">
        <v>54</v>
      </c>
      <c r="N59" t="s">
        <v>494</v>
      </c>
      <c r="O59" t="str">
        <f t="shared" si="3"/>
        <v>DRMCC_RE97_27_DNP.AI_00054_SET_1_BUSH_1_CAPACITANCE</v>
      </c>
    </row>
    <row r="60" spans="13:15" x14ac:dyDescent="0.3">
      <c r="M60">
        <v>55</v>
      </c>
      <c r="N60" t="s">
        <v>495</v>
      </c>
      <c r="O60" t="str">
        <f t="shared" si="3"/>
        <v>DRMCC_RE97_27_DNP.AI_00055_SET_1_BUSH_2_POWER_FACTOR</v>
      </c>
    </row>
    <row r="61" spans="13:15" x14ac:dyDescent="0.3">
      <c r="M61">
        <v>56</v>
      </c>
      <c r="N61" t="s">
        <v>496</v>
      </c>
      <c r="O61" t="str">
        <f t="shared" si="3"/>
        <v>DRMCC_RE97_27_DNP.AI_00056_SET_1_BUSH_2_CAPACITANCE</v>
      </c>
    </row>
    <row r="62" spans="13:15" x14ac:dyDescent="0.3">
      <c r="M62">
        <v>57</v>
      </c>
      <c r="N62" t="s">
        <v>497</v>
      </c>
      <c r="O62" t="str">
        <f t="shared" si="3"/>
        <v>DRMCC_RE97_27_DNP.AI_00057_SET_1_BUSH_3_POWER_FACTOR</v>
      </c>
    </row>
    <row r="63" spans="13:15" x14ac:dyDescent="0.3">
      <c r="M63">
        <v>58</v>
      </c>
      <c r="N63" t="s">
        <v>498</v>
      </c>
      <c r="O63" t="str">
        <f t="shared" si="3"/>
        <v>DRMCC_RE97_27_DNP.AI_00058_SET_1_BUSH_3_CAPACITANCE</v>
      </c>
    </row>
    <row r="64" spans="13:15" x14ac:dyDescent="0.3">
      <c r="M64">
        <v>59</v>
      </c>
      <c r="N64" t="s">
        <v>499</v>
      </c>
      <c r="O64" t="str">
        <f t="shared" si="3"/>
        <v>DRMCC_RE97_27_DNP.AI_00059_SET_2_BUSH_1_POWER_FACTOR</v>
      </c>
    </row>
    <row r="65" spans="13:15" x14ac:dyDescent="0.3">
      <c r="M65">
        <v>60</v>
      </c>
      <c r="N65" t="s">
        <v>500</v>
      </c>
      <c r="O65" t="str">
        <f t="shared" si="3"/>
        <v>DRMCC_RE97_27_DNP.AI_00060_SET_2_BUSH_1_CAPACITANCE</v>
      </c>
    </row>
    <row r="66" spans="13:15" x14ac:dyDescent="0.3">
      <c r="M66">
        <v>61</v>
      </c>
      <c r="N66" t="s">
        <v>501</v>
      </c>
      <c r="O66" t="str">
        <f t="shared" si="3"/>
        <v>DRMCC_RE97_27_DNP.AI_00061_SET_2_BUSH_2_POWER_FACTOR</v>
      </c>
    </row>
    <row r="67" spans="13:15" x14ac:dyDescent="0.3">
      <c r="M67">
        <v>62</v>
      </c>
      <c r="N67" t="s">
        <v>502</v>
      </c>
      <c r="O67" t="str">
        <f t="shared" si="3"/>
        <v>DRMCC_RE97_27_DNP.AI_00062_SET_2_BUSH_2_CAPACITANCE</v>
      </c>
    </row>
    <row r="68" spans="13:15" x14ac:dyDescent="0.3">
      <c r="M68">
        <v>63</v>
      </c>
      <c r="N68" t="s">
        <v>503</v>
      </c>
      <c r="O68" t="str">
        <f t="shared" si="3"/>
        <v>DRMCC_RE97_27_DNP.AI_00063_SET_2_BUSH_3_POWER_FACTOR</v>
      </c>
    </row>
    <row r="69" spans="13:15" x14ac:dyDescent="0.3">
      <c r="M69">
        <v>64</v>
      </c>
      <c r="N69" t="s">
        <v>504</v>
      </c>
      <c r="O69" t="str">
        <f t="shared" si="3"/>
        <v>DRMCC_RE97_27_DNP.AI_00064_SET_2_BUSH_3_CAPACITANCE</v>
      </c>
    </row>
    <row r="70" spans="13:15" x14ac:dyDescent="0.3">
      <c r="M70">
        <v>65</v>
      </c>
      <c r="N70" t="s">
        <v>505</v>
      </c>
      <c r="O70" t="str">
        <f t="shared" ref="O70:O72" si="5">CONCATENATE($N$1, ".", $N$2, "_", TEXT(M70, "00000"), "_",N70)</f>
        <v>DRMCC_RE97_27_DNP.AI_00065_MIDDLE_OIL_TEMPERATURE</v>
      </c>
    </row>
    <row r="71" spans="13:15" x14ac:dyDescent="0.3">
      <c r="M71">
        <v>66</v>
      </c>
      <c r="N71" t="s">
        <v>506</v>
      </c>
      <c r="O71" t="str">
        <f t="shared" si="5"/>
        <v>DRMCC_RE97_27_DNP.AI_00066_H0X0_PHASE_LOAD_CURRENT</v>
      </c>
    </row>
    <row r="72" spans="13:15" x14ac:dyDescent="0.3">
      <c r="M72">
        <v>67</v>
      </c>
      <c r="N72" t="s">
        <v>507</v>
      </c>
      <c r="O72" t="str">
        <f t="shared" si="5"/>
        <v>DRMCC_RE97_27_DNP.AI_00067_COOLER_GROUP_CURRENT</v>
      </c>
    </row>
  </sheetData>
  <pageMargins left="0.7" right="0.7" top="0.75" bottom="0.75" header="0.3" footer="0.3"/>
  <pageSetup paperSize="17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1500-000000000000}">
          <x14:formula1>
            <xm:f>'Z:\Clients\TND\FirstEnr\82568_EtfScadaSupprt\QC\Design\Q4\Pierce Brook - PN\20180420 - 345kV Shunt Reactor\[FE RTAC QC Checklist Rev S RTAC1 RTU.xlsm]Dropdowns'!#REF!</xm:f>
          </x14:formula1>
          <xm:sqref>N2</xm:sqref>
        </x14:dataValidation>
        <x14:dataValidation type="list" allowBlank="1" showInputMessage="1" showErrorMessage="1" xr:uid="{00000000-0002-0000-1500-000001000000}">
          <x14:formula1>
            <xm:f>'Z:\Clients\TND\FirstEnr\82568_EtfScadaSupprt\QC\Design\Q4\Pierce Brook - PN\20180420 - 345kV Shunt Reactor\[FE RTAC QC Checklist Rev S RTAC1 RTU.xlsm]Dropdowns'!#REF!</xm:f>
          </x14:formula1>
          <xm:sqref>F2 J2</xm:sqref>
        </x14:dataValidation>
        <x14:dataValidation type="list" allowBlank="1" showInputMessage="1" showErrorMessage="1" xr:uid="{00000000-0002-0000-1500-000002000000}">
          <x14:formula1>
            <xm:f>Dropdowns!$B$1:$B$6</xm:f>
          </x14:formula1>
          <xm:sqref>B2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8"/>
  <dimension ref="A1:B6"/>
  <sheetViews>
    <sheetView workbookViewId="0"/>
  </sheetViews>
  <sheetFormatPr defaultRowHeight="14.4" x14ac:dyDescent="0.3"/>
  <sheetData>
    <row r="1" spans="1:2" x14ac:dyDescent="0.3">
      <c r="A1" t="s">
        <v>16</v>
      </c>
      <c r="B1" t="s">
        <v>39</v>
      </c>
    </row>
    <row r="2" spans="1:2" x14ac:dyDescent="0.3">
      <c r="A2" t="s">
        <v>17</v>
      </c>
      <c r="B2" t="s">
        <v>40</v>
      </c>
    </row>
    <row r="3" spans="1:2" x14ac:dyDescent="0.3">
      <c r="B3" t="s">
        <v>41</v>
      </c>
    </row>
    <row r="4" spans="1:2" x14ac:dyDescent="0.3">
      <c r="B4" t="s">
        <v>42</v>
      </c>
    </row>
    <row r="5" spans="1:2" x14ac:dyDescent="0.3">
      <c r="B5" t="s">
        <v>43</v>
      </c>
    </row>
    <row r="6" spans="1:2" x14ac:dyDescent="0.3">
      <c r="B6" t="s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</vt:i4>
      </vt:variant>
    </vt:vector>
  </HeadingPairs>
  <TitlesOfParts>
    <vt:vector size="24" baseType="lpstr">
      <vt:lpstr>Rev</vt:lpstr>
      <vt:lpstr>SettingsTab</vt:lpstr>
      <vt:lpstr>General</vt:lpstr>
      <vt:lpstr>ASE Settings</vt:lpstr>
      <vt:lpstr>DNP DCA</vt:lpstr>
      <vt:lpstr>DNP DPA</vt:lpstr>
      <vt:lpstr>Calculator</vt:lpstr>
      <vt:lpstr>Comm WD</vt:lpstr>
      <vt:lpstr>Westmaint II</vt:lpstr>
      <vt:lpstr>Bridgeman</vt:lpstr>
      <vt:lpstr>DNP Data Link</vt:lpstr>
      <vt:lpstr>Harris DCA</vt:lpstr>
      <vt:lpstr>System Point Database</vt:lpstr>
      <vt:lpstr>General Settings</vt:lpstr>
      <vt:lpstr>Client Devices</vt:lpstr>
      <vt:lpstr>Server Devices</vt:lpstr>
      <vt:lpstr>DNP Map</vt:lpstr>
      <vt:lpstr>User Logic</vt:lpstr>
      <vt:lpstr>Axion</vt:lpstr>
      <vt:lpstr>Access Point</vt:lpstr>
      <vt:lpstr>Tag Processor</vt:lpstr>
      <vt:lpstr>Tag Builder</vt:lpstr>
      <vt:lpstr>Dropdowns</vt:lpstr>
      <vt:lpstr>DeviceName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Christiansen, Marshall A</dc:creator>
  <cp:lastModifiedBy>Shafer, Alexander M (Alex)</cp:lastModifiedBy>
  <dcterms:created xsi:type="dcterms:W3CDTF">2017-02-28T20:13:11Z</dcterms:created>
  <dcterms:modified xsi:type="dcterms:W3CDTF">2018-09-18T16:16:27Z</dcterms:modified>
</cp:coreProperties>
</file>